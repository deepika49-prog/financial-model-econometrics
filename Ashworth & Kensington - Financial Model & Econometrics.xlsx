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EADME" sheetId="2" state="visible" r:id="rId4"/>
    <sheet name="Dashboard" sheetId="3" state="visible" r:id="rId5"/>
    <sheet name="Scenarios" sheetId="4" state="visible" r:id="rId6"/>
    <sheet name="Assumptions" sheetId="5" state="visible" r:id="rId7"/>
    <sheet name="Revenue Build" sheetId="6" state="visible" r:id="rId8"/>
    <sheet name="Income Statement" sheetId="7" state="visible" r:id="rId9"/>
    <sheet name="Working Capital" sheetId="8" state="visible" r:id="rId10"/>
    <sheet name="Debt Schedule" sheetId="9" state="visible" r:id="rId11"/>
    <sheet name="Balance Sheet" sheetId="10" state="visible" r:id="rId12"/>
    <sheet name="Cash Flow" sheetId="11" state="visible" r:id="rId13"/>
    <sheet name="DCF Valuation" sheetId="12" state="visible" r:id="rId14"/>
    <sheet name="Comparables" sheetId="13" state="visible" r:id="rId15"/>
    <sheet name="Sensitivity" sheetId="14" state="visible" r:id="rId16"/>
    <sheet name="Econometrics" sheetId="15" state="visible" r:id="rId17"/>
    <sheet name="Checks" sheetId="16" state="visible" r:id="rId18"/>
  </sheets>
  <definedNames>
    <definedName function="false" hidden="false" localSheetId="4" name="_xlnm.Print_Area" vbProcedure="false">Assumptions!$A$1:$L$46</definedName>
    <definedName function="false" hidden="false" localSheetId="9" name="_xlnm.Print_Area" vbProcedure="false">'Balance Sheet'!$A$1:$L$24</definedName>
    <definedName function="false" hidden="false" localSheetId="10" name="_xlnm.Print_Area" vbProcedure="false">'Cash Flow'!$A$1:$L$27</definedName>
    <definedName function="false" hidden="false" localSheetId="15" name="_xlnm.Print_Area" vbProcedure="false">Checks!$A$1:$D$30</definedName>
    <definedName function="false" hidden="false" localSheetId="12" name="_xlnm.Print_Area" vbProcedure="false">Comparables!$A$1:$M$75</definedName>
    <definedName function="false" hidden="false" localSheetId="0" name="_xlnm.Print_Area" vbProcedure="false">Cover!$A$1:$N$46</definedName>
    <definedName function="false" hidden="false" localSheetId="2" name="_xlnm.Print_Area" vbProcedure="false">Dashboard!$A$1:$T$145</definedName>
    <definedName function="false" hidden="false" localSheetId="11" name="_xlnm.Print_Area" vbProcedure="false">'DCF Valuation'!$A$1:$L$30</definedName>
    <definedName function="false" hidden="false" localSheetId="8" name="_xlnm.Print_Area" vbProcedure="false">'Debt Schedule'!$A$1:$L$17</definedName>
    <definedName function="false" hidden="false" localSheetId="14" name="_xlnm.Print_Area" vbProcedure="false">Econometrics!$A$1:$N$65</definedName>
    <definedName function="false" hidden="false" localSheetId="6" name="_xlnm.Print_Area" vbProcedure="false">'Income Statement'!$A$1:$L$28</definedName>
    <definedName function="false" hidden="false" localSheetId="1" name="_xlnm.Print_Area" vbProcedure="false">README!$A$1:$C$65</definedName>
    <definedName function="false" hidden="false" localSheetId="5" name="_xlnm.Print_Area" vbProcedure="false">'Revenue Build'!$A$1:$L$30</definedName>
    <definedName function="false" hidden="false" localSheetId="3" name="_xlnm.Print_Area" vbProcedure="false">Scenarios!$A$1:$G$30</definedName>
    <definedName function="false" hidden="false" localSheetId="13" name="_xlnm.Print_Area" vbProcedure="false">Sensitivity!$A$1:$J$20</definedName>
    <definedName function="false" hidden="false" localSheetId="7" name="_xlnm.Print_Area" vbProcedure="false">'Working Capital'!$A$1:$L$20</definedName>
    <definedName function="false" hidden="false" name="Implied_Share_Price_DCF" vbProcedure="false">'DCF Valuation'!$C$28</definedName>
    <definedName function="false" hidden="false" name="Implied_Valuation_Range_High" vbProcedure="false">Comparables!$D$43</definedName>
    <definedName function="false" hidden="false" name="Implied_Valuation_Range_Low" vbProcedure="false">Comparables!$C$43</definedName>
    <definedName function="false" hidden="false" name="Scenario_Selector" vbProcedure="false">Scenarios!$C$6</definedName>
    <definedName function="false" hidden="false" name="Terminal_Growth_Rate" vbProcedure="false">Assumptions!$C$41</definedName>
    <definedName function="false" hidden="false" name="WACC" vbProcedure="false">Assumptions!$C$40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<sst xmlns="http://schemas.openxmlformats.org/spreadsheetml/2006/main" count="476" uniqueCount="397">
  <si>
    <t xml:space="preserve">ASHWORTH  &amp;  KENSINGTON</t>
  </si>
  <si>
    <t xml:space="preserve">H O L D I N G S   P L C</t>
  </si>
  <si>
    <t xml:space="preserve">Integrated Financial Model  •  Valuation  •  Econometric Analysis</t>
  </si>
  <si>
    <t xml:space="preserve">Fiscal Years 2021A – 2030E</t>
  </si>
  <si>
    <t xml:space="preserve">❦</t>
  </si>
  <si>
    <t xml:space="preserve">C O N T E N T S</t>
  </si>
  <si>
    <t xml:space="preserve">1.</t>
  </si>
  <si>
    <t xml:space="preserve">How to Use This Model (README)</t>
  </si>
  <si>
    <t xml:space="preserve">2.</t>
  </si>
  <si>
    <t xml:space="preserve">Executive Dashboard</t>
  </si>
  <si>
    <t xml:space="preserve">3.</t>
  </si>
  <si>
    <t xml:space="preserve">Scenario Analysis</t>
  </si>
  <si>
    <t xml:space="preserve">4.</t>
  </si>
  <si>
    <t xml:space="preserve">Key Assumptions &amp; Drivers</t>
  </si>
  <si>
    <t xml:space="preserve">5.</t>
  </si>
  <si>
    <t xml:space="preserve">Revenue Build (by Segment)</t>
  </si>
  <si>
    <t xml:space="preserve">6.</t>
  </si>
  <si>
    <t xml:space="preserve">Income Statement</t>
  </si>
  <si>
    <t xml:space="preserve">7.</t>
  </si>
  <si>
    <t xml:space="preserve">Working Capital Schedule</t>
  </si>
  <si>
    <t xml:space="preserve">8.</t>
  </si>
  <si>
    <t xml:space="preserve">Debt Schedule</t>
  </si>
  <si>
    <t xml:space="preserve">9.</t>
  </si>
  <si>
    <t xml:space="preserve">Balance Sheet</t>
  </si>
  <si>
    <t xml:space="preserve">10.</t>
  </si>
  <si>
    <t xml:space="preserve">Cash Flow Statement</t>
  </si>
  <si>
    <t xml:space="preserve">11.</t>
  </si>
  <si>
    <t xml:space="preserve">DCF Valuation</t>
  </si>
  <si>
    <t xml:space="preserve">12.</t>
  </si>
  <si>
    <t xml:space="preserve">Comparable Company Valuation</t>
  </si>
  <si>
    <t xml:space="preserve">13.</t>
  </si>
  <si>
    <t xml:space="preserve">Sensitivity Analysis</t>
  </si>
  <si>
    <t xml:space="preserve">14.</t>
  </si>
  <si>
    <t xml:space="preserve">Econometrics &amp; Regression Lab</t>
  </si>
  <si>
    <t xml:space="preserve">15.</t>
  </si>
  <si>
    <t xml:space="preserve">Model Integrity Checks</t>
  </si>
  <si>
    <t xml:space="preserve">EDUCATIONAL FINANCIAL MODELING PROJECT  —  PREPARED BY DEEPIKA KUMARI</t>
  </si>
  <si>
    <t xml:space="preserve">HOW TO USE THIS MODEL</t>
  </si>
  <si>
    <t xml:space="preserve">Ashworth &amp; Kensington Holdings plc — Integrated Financial Model</t>
  </si>
  <si>
    <t xml:space="preserve">Version:</t>
  </si>
  <si>
    <t xml:space="preserve">v1.0</t>
  </si>
  <si>
    <t xml:space="preserve">Last Updated:</t>
  </si>
  <si>
    <t xml:space="preserve">July 2026</t>
  </si>
  <si>
    <t xml:space="preserve">Author:</t>
  </si>
  <si>
    <t xml:space="preserve">Deepika Kumari</t>
  </si>
  <si>
    <t xml:space="preserve">Purpose:</t>
  </si>
  <si>
    <t xml:space="preserve">Educational Portfolio Project</t>
  </si>
  <si>
    <t xml:space="preserve">1.  Overview</t>
  </si>
  <si>
    <t xml:space="preserve">This workbook is a fully-linked, three-statement financial model for a fictional holding company with three segments (Heritage Textiles, Private Wealth Advisory, Fine Estates). It builds a bottom-up revenue forecast, rolls it through the Income Statement, Balance Sheet, and Cash Flow Statement, and produces two independent valuations — a Discounted Cash Flow and a Comparable Company analysis — which are reconciled in a single valuation range. Every number in the model is either a hard-coded input, a formula, or a link to another sheet; nothing is pasted as a static value.</t>
  </si>
  <si>
    <t xml:space="preserve">2.  Color Conventions (used consistently on every sheet)</t>
  </si>
  <si>
    <t xml:space="preserve">■  Blue text</t>
  </si>
  <si>
    <t xml:space="preserve">A hard-coded input you can safely change — historical actuals, assumptions, or scenario values.</t>
  </si>
  <si>
    <t xml:space="preserve">■  Black text</t>
  </si>
  <si>
    <t xml:space="preserve">A formula. Do not overwrite — it calculates automatically from other cells.</t>
  </si>
  <si>
    <t xml:space="preserve">■  Green text</t>
  </si>
  <si>
    <t xml:space="preserve">A link that pulls a value from another sheet, so you can trace where a number came from.</t>
  </si>
  <si>
    <t xml:space="preserve">■  Gold fill</t>
  </si>
  <si>
    <t xml:space="preserve">A key output, subtotal, or the “selected” scenario value — the number you most want to look at on that sheet.</t>
  </si>
  <si>
    <t xml:space="preserve">3.  How the Model Flows</t>
  </si>
  <si>
    <t xml:space="preserve">▸ Scenarios</t>
  </si>
  <si>
    <t xml:space="preserve">Choose Bear / Base / Bull from the dropdown — this is the master switch for the entire model.</t>
  </si>
  <si>
    <t xml:space="preserve">▸ Assumptions</t>
  </si>
  <si>
    <t xml:space="preserve">Macro, margin, and capital-structure drivers. Scenario adjustments are layered on here.</t>
  </si>
  <si>
    <t xml:space="preserve">▸ Revenue Build</t>
  </si>
  <si>
    <t xml:space="preserve">Units Sold × Average Selling Price, by segment, rolls up to Total Revenue.</t>
  </si>
  <si>
    <t xml:space="preserve">▸ Income Statement</t>
  </si>
  <si>
    <t xml:space="preserve">Revenue flows down to Net Income using the margin assumptions and Debt Schedule interest.</t>
  </si>
  <si>
    <t xml:space="preserve">▸ Working Capital / Debt Schedule</t>
  </si>
  <si>
    <t xml:space="preserve">Supporting schedules for AR/Inventory/AP (DSO/DIO/DPO) and the debt roll-forward.</t>
  </si>
  <si>
    <t xml:space="preserve">▸ Balance Sheet / Cash Flow</t>
  </si>
  <si>
    <t xml:space="preserve">Fully articulated and mechanically balanced — see the Checks tab.</t>
  </si>
  <si>
    <t xml:space="preserve">▸ DCF Valuation / Comparables</t>
  </si>
  <si>
    <t xml:space="preserve">Two independent valuations, reconciled on the Comparables tab's valuation range.</t>
  </si>
  <si>
    <t xml:space="preserve">▸ Sensitivity / Econometrics</t>
  </si>
  <si>
    <t xml:space="preserve">WACC × growth data table, CAPM beta regression, and macro regressions.</t>
  </si>
  <si>
    <t xml:space="preserve">▸ Checks</t>
  </si>
  <si>
    <t xml:space="preserve">Ten automated integrity tests — everything should read ✅ PASS.</t>
  </si>
  <si>
    <t xml:space="preserve">4.  Running a Scenario</t>
  </si>
  <si>
    <t xml:space="preserve">Go to the Scenarios tab → click the dropdown in cell C6 → choose Bear, Base, or Bull. Every projected assumption (volume growth, pricing, margins, WACC, terminal growth) updates immediately via CHOOSE() / INDEX() / MATCH() formulas, and the change flows all the way through to the Dashboard KPIs, the DCF implied share price, and the Comparables valuation range.</t>
  </si>
  <si>
    <t xml:space="preserve">5.  Named Ranges (Name Box or Ctrl+G to jump)</t>
  </si>
  <si>
    <t xml:space="preserve">Scenario_Selector</t>
  </si>
  <si>
    <t xml:space="preserve">The Bear/Base/Bull dropdown cell</t>
  </si>
  <si>
    <t xml:space="preserve">WACC</t>
  </si>
  <si>
    <t xml:space="preserve">Scenario-adjusted discount rate</t>
  </si>
  <si>
    <t xml:space="preserve">Terminal_Growth_Rate</t>
  </si>
  <si>
    <t xml:space="preserve">Scenario-adjusted terminal growth rate</t>
  </si>
  <si>
    <t xml:space="preserve">Implied_Share_Price_DCF</t>
  </si>
  <si>
    <t xml:space="preserve">DCF Valuation tab's headline output</t>
  </si>
  <si>
    <t xml:space="preserve">Implied_Valuation_Range_Low</t>
  </si>
  <si>
    <t xml:space="preserve">Low end of the all-methods valuation range</t>
  </si>
  <si>
    <t xml:space="preserve">Implied_Valuation_Range_High</t>
  </si>
  <si>
    <t xml:space="preserve">High end of the all-methods valuation range</t>
  </si>
  <si>
    <t xml:space="preserve">6.  Notes &amp; Disclaimer</t>
  </si>
  <si>
    <t xml:space="preserve">Ashworth &amp; Kensington Holdings plc is a fictional company created for illustrative and educational purposes. All figures, comparable companies, and multiples are invented and should not be used for any real investment decision. This workbook is intended to demonstrate financial modeling and econometric technique in Excel.</t>
  </si>
  <si>
    <t xml:space="preserve">EXECUTIVE DASHBOARD</t>
  </si>
  <si>
    <t xml:space="preserve">■ Blue = Input      ■ Black = Formula      ■ Green = Link to Another Sheet</t>
  </si>
  <si>
    <t xml:space="preserve">Ashworth &amp; Kensington Holdings plc  —  FY2030E Snapshot</t>
  </si>
  <si>
    <t xml:space="preserve">Total Revenue (FY30E)</t>
  </si>
  <si>
    <t xml:space="preserve">EBITDA (FY30E)</t>
  </si>
  <si>
    <t xml:space="preserve">Net Income (FY30E)</t>
  </si>
  <si>
    <t xml:space="preserve">Diluted EPS (FY30E)</t>
  </si>
  <si>
    <t xml:space="preserve">Implied Share Price</t>
  </si>
  <si>
    <t xml:space="preserve">'25–'30 CAGR:</t>
  </si>
  <si>
    <t xml:space="preserve">EBITDA Margin:</t>
  </si>
  <si>
    <t xml:space="preserve">Net Margin:</t>
  </si>
  <si>
    <t xml:space="preserve">WACC:</t>
  </si>
  <si>
    <t xml:space="preserve">Beta:</t>
  </si>
  <si>
    <t xml:space="preserve">(chart data — linked)</t>
  </si>
  <si>
    <t xml:space="preserve">Revenue</t>
  </si>
  <si>
    <t xml:space="preserve">Revenue (Historical)</t>
  </si>
  <si>
    <t xml:space="preserve">Revenue (Forecast)</t>
  </si>
  <si>
    <t xml:space="preserve">EBITDA</t>
  </si>
  <si>
    <t xml:space="preserve">EBITDA Margin %</t>
  </si>
  <si>
    <t xml:space="preserve">Net Income</t>
  </si>
  <si>
    <t xml:space="preserve">Cash Flow from Operations</t>
  </si>
  <si>
    <t xml:space="preserve">Revenue Growth %</t>
  </si>
  <si>
    <t xml:space="preserve">Unlevered Free Cash Flow</t>
  </si>
  <si>
    <t xml:space="preserve">Segment Mix FY30E</t>
  </si>
  <si>
    <t xml:space="preserve">Heritage Textiles</t>
  </si>
  <si>
    <t xml:space="preserve">Private Wealth Advisory</t>
  </si>
  <si>
    <t xml:space="preserve">Fine Estates</t>
  </si>
  <si>
    <t xml:space="preserve">DCF Bridge</t>
  </si>
  <si>
    <t xml:space="preserve">PV of FCF
('26-'30)</t>
  </si>
  <si>
    <t xml:space="preserve">PV of
Terminal Value</t>
  </si>
  <si>
    <t xml:space="preserve">Enterprise
Value</t>
  </si>
  <si>
    <t xml:space="preserve">Net Debt /
(Net Cash)</t>
  </si>
  <si>
    <t xml:space="preserve">Equity
Value</t>
  </si>
  <si>
    <t xml:space="preserve">base</t>
  </si>
  <si>
    <t xml:space="preserve">value</t>
  </si>
  <si>
    <t xml:space="preserve">Tornado — Share Price Sensitivity to Key Drivers</t>
  </si>
  <si>
    <t xml:space="preserve">Driver</t>
  </si>
  <si>
    <t xml:space="preserve">Low</t>
  </si>
  <si>
    <t xml:space="preserve">High</t>
  </si>
  <si>
    <t xml:space="preserve">Swing</t>
  </si>
  <si>
    <t xml:space="preserve">WACC ± 50 bps</t>
  </si>
  <si>
    <t xml:space="preserve">Terminal Growth ± 50 bps</t>
  </si>
  <si>
    <t xml:space="preserve">Exit Multiple ± 1.0x</t>
  </si>
  <si>
    <t xml:space="preserve">FY26-30E Revenue ± 5% (illustrative)</t>
  </si>
  <si>
    <t xml:space="preserve">SCENARIO ANALYSIS</t>
  </si>
  <si>
    <t xml:space="preserve">Active Scenario</t>
  </si>
  <si>
    <t xml:space="preserve">Base</t>
  </si>
  <si>
    <t xml:space="preserve">Scenario Index  (1 = Bear, 2 = Base, 3 = Bull)</t>
  </si>
  <si>
    <t xml:space="preserve">Narrative</t>
  </si>
  <si>
    <t xml:space="preserve">Bear: recessionary volume pullback, pricing pressure, wider discount rate.  Base: steady-state continuation of current trends.  Bull: accelerating client wins, pricing power, and margin expansion.</t>
  </si>
  <si>
    <t xml:space="preserve">Adjustment vs. Base Case (percentage points)</t>
  </si>
  <si>
    <t xml:space="preserve">BEAR</t>
  </si>
  <si>
    <t xml:space="preserve">BASE</t>
  </si>
  <si>
    <t xml:space="preserve">BULL</t>
  </si>
  <si>
    <t xml:space="preserve">SELECTED ►</t>
  </si>
  <si>
    <t xml:space="preserve">Heritage Textiles — Units Growth Adj.</t>
  </si>
  <si>
    <t xml:space="preserve">Private Wealth — Client Growth Adj.</t>
  </si>
  <si>
    <t xml:space="preserve">Fine Estates — Transaction Growth Adj.</t>
  </si>
  <si>
    <t xml:space="preserve">Heritage Textiles — ASP Growth Adj.</t>
  </si>
  <si>
    <t xml:space="preserve">Private Wealth — Fee/Account Growth Adj.</t>
  </si>
  <si>
    <t xml:space="preserve">Fine Estates — Avg. Fee Growth Adj.</t>
  </si>
  <si>
    <t xml:space="preserve">Gross Margin Adj.</t>
  </si>
  <si>
    <t xml:space="preserve">SG&amp;A % Adj. (+ = higher cost)</t>
  </si>
  <si>
    <t xml:space="preserve">Terminal Growth Rate Adj.</t>
  </si>
  <si>
    <t xml:space="preserve">WACC Adj. (+ = higher discount rate)</t>
  </si>
  <si>
    <t xml:space="preserve">KEY ASSUMPTIONS  &amp;  DRIVERS</t>
  </si>
  <si>
    <t xml:space="preserve">ACTUAL</t>
  </si>
  <si>
    <t xml:space="preserve">PROJECTED</t>
  </si>
  <si>
    <t xml:space="preserve">($ in 000s, unless noted)</t>
  </si>
  <si>
    <t xml:space="preserve">Macroeconomic Environment</t>
  </si>
  <si>
    <t xml:space="preserve">Real GDP Growth (%)</t>
  </si>
  <si>
    <t xml:space="preserve">CPI Inflation (%)</t>
  </si>
  <si>
    <t xml:space="preserve">10-Year Treasury Yield / Risk-Free Rate (%)</t>
  </si>
  <si>
    <t xml:space="preserve">Segment Volume &amp; Pricing Assumptions</t>
  </si>
  <si>
    <t xml:space="preserve">Heritage Textiles — Units Growth (%)</t>
  </si>
  <si>
    <t xml:space="preserve">Heritage Textiles — ASP Growth (%)</t>
  </si>
  <si>
    <t xml:space="preserve">Private Wealth Advisory — Client Growth (%)</t>
  </si>
  <si>
    <t xml:space="preserve">Private Wealth Advisory — Fee/Account Growth (%)</t>
  </si>
  <si>
    <t xml:space="preserve">Fine Estates — Transaction Growth (%)</t>
  </si>
  <si>
    <t xml:space="preserve">Fine Estates — Avg. Fee Growth (%)</t>
  </si>
  <si>
    <t xml:space="preserve">Blended Segment Revenue Growth (Derived, Units × ASP)</t>
  </si>
  <si>
    <t xml:space="preserve">Heritage Textiles — Total Revenue Growth (%)</t>
  </si>
  <si>
    <t xml:space="preserve">Private Wealth Advisory — Total Revenue Growth (%)</t>
  </si>
  <si>
    <t xml:space="preserve">Fine Estates (Real Assets) — Total Revenue Growth (%)</t>
  </si>
  <si>
    <t xml:space="preserve">Margin &amp; Cost Assumptions</t>
  </si>
  <si>
    <t xml:space="preserve">Gross Margin (%)</t>
  </si>
  <si>
    <t xml:space="preserve">SG&amp;A (% of Revenue)</t>
  </si>
  <si>
    <t xml:space="preserve">D&amp;A (% of Revenue)</t>
  </si>
  <si>
    <t xml:space="preserve">Effective Tax Rate (%)</t>
  </si>
  <si>
    <t xml:space="preserve">Capital Expenditures (% of Revenue)</t>
  </si>
  <si>
    <t xml:space="preserve">Accounts Receivable, Inventory &amp; Payables</t>
  </si>
  <si>
    <t xml:space="preserve">see 'Working Capital' tab</t>
  </si>
  <si>
    <t xml:space="preserve">Capital Structure &amp; Valuation Assumptions</t>
  </si>
  <si>
    <t xml:space="preserve">Risk-Free Rate (Current, 10Y UST)</t>
  </si>
  <si>
    <t xml:space="preserve">Equity Market Risk Premium</t>
  </si>
  <si>
    <t xml:space="preserve">Levered Beta (regression-estimated)</t>
  </si>
  <si>
    <t xml:space="preserve">Cost of Equity (CAPM)</t>
  </si>
  <si>
    <t xml:space="preserve">Pre-Tax Cost of Debt</t>
  </si>
  <si>
    <t xml:space="preserve">After-Tax Cost of Debt</t>
  </si>
  <si>
    <t xml:space="preserve">Target Debt / Total Capital</t>
  </si>
  <si>
    <t xml:space="preserve">WACC (Scenario-Adjusted)</t>
  </si>
  <si>
    <t xml:space="preserve">Terminal Growth Rate (Scenario-Adjusted)</t>
  </si>
  <si>
    <t xml:space="preserve">Diluted Shares Outstanding (mm)</t>
  </si>
  <si>
    <t xml:space="preserve">Opening Long-Term Debt, FY2020A ($000s)</t>
  </si>
  <si>
    <t xml:space="preserve">feeds 'Debt Schedule' tab</t>
  </si>
  <si>
    <t xml:space="preserve">Common Stock &amp; APIC ($000s)</t>
  </si>
  <si>
    <t xml:space="preserve">REVENUE BUILD  —  BY SEGMENT</t>
  </si>
  <si>
    <t xml:space="preserve">Heritage Textiles — Volume &amp; Pricing</t>
  </si>
  <si>
    <t xml:space="preserve">Units Sold (000s of garments)</t>
  </si>
  <si>
    <t xml:space="preserve">Average Selling Price ($/unit)</t>
  </si>
  <si>
    <t xml:space="preserve">Revenue ($000s)</t>
  </si>
  <si>
    <t xml:space="preserve">Private Wealth Advisory — Volume &amp; Pricing</t>
  </si>
  <si>
    <t xml:space="preserve">Client Accounts (000s)</t>
  </si>
  <si>
    <t xml:space="preserve">Average Fee per Account ($)</t>
  </si>
  <si>
    <t xml:space="preserve">Fine Estates (Real Assets) — Volume &amp; Pricing</t>
  </si>
  <si>
    <t xml:space="preserve">Transactions / Mandates (#)</t>
  </si>
  <si>
    <t xml:space="preserve">Average Fee per Transaction ($000s)</t>
  </si>
  <si>
    <t xml:space="preserve">Consolidated Revenue</t>
  </si>
  <si>
    <t xml:space="preserve">Total Revenue</t>
  </si>
  <si>
    <t xml:space="preserve">Total Revenue — YoY Growth (%)</t>
  </si>
  <si>
    <t xml:space="preserve">Segment Mix (% of Total Revenue)</t>
  </si>
  <si>
    <t xml:space="preserve">Fine Estates (Real Assets)</t>
  </si>
  <si>
    <t xml:space="preserve">INCOME STATEMENT</t>
  </si>
  <si>
    <t xml:space="preserve">Cost of Goods Sold</t>
  </si>
  <si>
    <t xml:space="preserve">Gross Profit</t>
  </si>
  <si>
    <t xml:space="preserve">Selling, General &amp; Administrative</t>
  </si>
  <si>
    <t xml:space="preserve">EBITDA Margin (%)</t>
  </si>
  <si>
    <t xml:space="preserve">Depreciation &amp; Amortization</t>
  </si>
  <si>
    <t xml:space="preserve">EBIT</t>
  </si>
  <si>
    <t xml:space="preserve">EBIT Margin (%)</t>
  </si>
  <si>
    <t xml:space="preserve">Interest Expense, Net</t>
  </si>
  <si>
    <t xml:space="preserve">Pre-Tax Income (EBT)</t>
  </si>
  <si>
    <t xml:space="preserve">Income Tax Expense</t>
  </si>
  <si>
    <t xml:space="preserve">Net Margin (%)</t>
  </si>
  <si>
    <t xml:space="preserve">Diluted EPS ($)</t>
  </si>
  <si>
    <t xml:space="preserve">WORKING CAPITAL SCHEDULE</t>
  </si>
  <si>
    <t xml:space="preserve">Days-Based Drivers</t>
  </si>
  <si>
    <t xml:space="preserve">Days Sales Outstanding (DSO)</t>
  </si>
  <si>
    <t xml:space="preserve">Days Inventory Outstanding (DIO)</t>
  </si>
  <si>
    <t xml:space="preserve">Days Payable Outstanding (DPO)</t>
  </si>
  <si>
    <t xml:space="preserve">Working Capital Build</t>
  </si>
  <si>
    <t xml:space="preserve">Accounts Receivable  (= Revenue ÷ 365 × DSO)</t>
  </si>
  <si>
    <t xml:space="preserve">Inventory  (= COGS ÷ 365 × DIO)</t>
  </si>
  <si>
    <t xml:space="preserve">Accounts Payable  (= COGS ÷ 365 × DPO)</t>
  </si>
  <si>
    <t xml:space="preserve">Net Working Capital</t>
  </si>
  <si>
    <t xml:space="preserve">Net Working Capital  (AR + Inventory − AP)</t>
  </si>
  <si>
    <t xml:space="preserve">(Increase) / Decrease in NWC</t>
  </si>
  <si>
    <t xml:space="preserve">DEBT SCHEDULE</t>
  </si>
  <si>
    <t xml:space="preserve">Long-Term Debt Roll-Forward</t>
  </si>
  <si>
    <t xml:space="preserve">Opening Debt Balance</t>
  </si>
  <si>
    <t xml:space="preserve">(+) New Borrowings</t>
  </si>
  <si>
    <t xml:space="preserve">(−) Scheduled Repayments</t>
  </si>
  <si>
    <t xml:space="preserve">Ending Debt Balance</t>
  </si>
  <si>
    <t xml:space="preserve">Interest Calculation</t>
  </si>
  <si>
    <t xml:space="preserve">Interest Rate (Pre-Tax Cost of Debt)</t>
  </si>
  <si>
    <t xml:space="preserve">Average Debt Balance</t>
  </si>
  <si>
    <t xml:space="preserve">Interest Expense</t>
  </si>
  <si>
    <t xml:space="preserve">BALANCE SHEET</t>
  </si>
  <si>
    <t xml:space="preserve">Assets</t>
  </si>
  <si>
    <t xml:space="preserve">Cash &amp; Cash Equivalents</t>
  </si>
  <si>
    <t xml:space="preserve">Accounts Receivable</t>
  </si>
  <si>
    <t xml:space="preserve">Inventory</t>
  </si>
  <si>
    <t xml:space="preserve">Total Current Assets</t>
  </si>
  <si>
    <t xml:space="preserve">Property, Plant &amp; Equipment, net</t>
  </si>
  <si>
    <t xml:space="preserve">Total Assets</t>
  </si>
  <si>
    <t xml:space="preserve">Liabilities &amp; Shareholders' Equity</t>
  </si>
  <si>
    <t xml:space="preserve">Accounts Payable</t>
  </si>
  <si>
    <t xml:space="preserve">Long-Term Debt</t>
  </si>
  <si>
    <t xml:space="preserve">Total Liabilities</t>
  </si>
  <si>
    <t xml:space="preserve">Common Stock &amp; APIC</t>
  </si>
  <si>
    <t xml:space="preserve">Retained Earnings</t>
  </si>
  <si>
    <t xml:space="preserve">Total Shareholders' Equity</t>
  </si>
  <si>
    <t xml:space="preserve">Total Liabilities &amp; Equity</t>
  </si>
  <si>
    <t xml:space="preserve">Balance Check</t>
  </si>
  <si>
    <t xml:space="preserve">CASH FLOW STATEMENT</t>
  </si>
  <si>
    <t xml:space="preserve">Cash Flow from Operating Activities</t>
  </si>
  <si>
    <t xml:space="preserve">n.a.</t>
  </si>
  <si>
    <t xml:space="preserve">Plus: Depreciation &amp; Amortization</t>
  </si>
  <si>
    <t xml:space="preserve">(Increase) / Decrease in Accounts Receivable</t>
  </si>
  <si>
    <t xml:space="preserve">(Increase) / Decrease in Inventory</t>
  </si>
  <si>
    <t xml:space="preserve">Increase / (Decrease) in Accounts Payable</t>
  </si>
  <si>
    <t xml:space="preserve">Cash Flow from Investing Activities</t>
  </si>
  <si>
    <t xml:space="preserve">Capital Expenditures</t>
  </si>
  <si>
    <t xml:space="preserve">Cash Flow from Investing</t>
  </si>
  <si>
    <t xml:space="preserve">Cash Flow from Financing Activities</t>
  </si>
  <si>
    <t xml:space="preserve">Debt Issuance / (Repayment)</t>
  </si>
  <si>
    <t xml:space="preserve">Cash Flow from Financing</t>
  </si>
  <si>
    <t xml:space="preserve">Net Change in Cash</t>
  </si>
  <si>
    <t xml:space="preserve">Net Increase / (Decrease) in Cash</t>
  </si>
  <si>
    <t xml:space="preserve">Beginning Cash Balance</t>
  </si>
  <si>
    <t xml:space="preserve">Ending Cash Balance</t>
  </si>
  <si>
    <t xml:space="preserve">DISCOUNTED CASH FLOW VALUATION</t>
  </si>
  <si>
    <t xml:space="preserve">Unlevered Free Cash Flow (Projection Period)</t>
  </si>
  <si>
    <t xml:space="preserve">Less: Unlevered Taxes</t>
  </si>
  <si>
    <t xml:space="preserve">NOPAT</t>
  </si>
  <si>
    <t xml:space="preserve">Plus: D&amp;A</t>
  </si>
  <si>
    <t xml:space="preserve">Less: Capital Expenditures</t>
  </si>
  <si>
    <t xml:space="preserve">Less: Increase in Net Working Capital</t>
  </si>
  <si>
    <t xml:space="preserve">Discount Period</t>
  </si>
  <si>
    <t xml:space="preserve">Discount Factor</t>
  </si>
  <si>
    <t xml:space="preserve">PV of Free Cash Flow</t>
  </si>
  <si>
    <t xml:space="preserve">Valuation Summary</t>
  </si>
  <si>
    <t xml:space="preserve">Sum of PV of FCF (2026–2030)</t>
  </si>
  <si>
    <t xml:space="preserve">Terminal Value (Gordon Growth)</t>
  </si>
  <si>
    <t xml:space="preserve">PV of Terminal Value</t>
  </si>
  <si>
    <t xml:space="preserve">Enterprise Value</t>
  </si>
  <si>
    <t xml:space="preserve">% of EV from Terminal Value</t>
  </si>
  <si>
    <t xml:space="preserve">Less: Net Debt / (Net Cash)</t>
  </si>
  <si>
    <t xml:space="preserve">Implied Equity Value</t>
  </si>
  <si>
    <t xml:space="preserve">Implied Share Price ($)</t>
  </si>
  <si>
    <t xml:space="preserve">COMPARABLE COMPANY VALUATION</t>
  </si>
  <si>
    <t xml:space="preserve">Selected Public Comparables</t>
  </si>
  <si>
    <t xml:space="preserve">Company</t>
  </si>
  <si>
    <t xml:space="preserve">EV / EBITDA</t>
  </si>
  <si>
    <t xml:space="preserve">EV / Revenue</t>
  </si>
  <si>
    <t xml:space="preserve">P / E</t>
  </si>
  <si>
    <t xml:space="preserve">Sterling &amp; Vane Group</t>
  </si>
  <si>
    <t xml:space="preserve">Whitmore Capital Partners</t>
  </si>
  <si>
    <t xml:space="preserve">Blackwood Estates plc</t>
  </si>
  <si>
    <t xml:space="preserve">Ainsley Textile Holdings</t>
  </si>
  <si>
    <t xml:space="preserve">Crown &amp; Thistle Wealth</t>
  </si>
  <si>
    <t xml:space="preserve">Mean</t>
  </si>
  <si>
    <t xml:space="preserve">Median</t>
  </si>
  <si>
    <t xml:space="preserve">Implied Valuation — Trading Comparables (Applied to FY2026E)</t>
  </si>
  <si>
    <t xml:space="preserve">FY2026E EBITDA ($000s)</t>
  </si>
  <si>
    <t xml:space="preserve">FY2026E Revenue ($000s)</t>
  </si>
  <si>
    <t xml:space="preserve">FY2026E Diluted EPS ($)</t>
  </si>
  <si>
    <t xml:space="preserve">Net Debt / (Net Cash), Current ($000s)</t>
  </si>
  <si>
    <t xml:space="preserve">Method</t>
  </si>
  <si>
    <t xml:space="preserve">Implied EV</t>
  </si>
  <si>
    <t xml:space="preserve">EV / EBITDA Multiple</t>
  </si>
  <si>
    <t xml:space="preserve">EV / Revenue Multiple</t>
  </si>
  <si>
    <t xml:space="preserve">P / E Multiple  (direct to equity)</t>
  </si>
  <si>
    <t xml:space="preserve">Exit Multiple Valuation (Alternative Terminal Value)</t>
  </si>
  <si>
    <t xml:space="preserve">Exit EV / EBITDA Multiple (= Median Comp)</t>
  </si>
  <si>
    <t xml:space="preserve">FY2030E EBITDA ($000s)</t>
  </si>
  <si>
    <t xml:space="preserve">Terminal Value (Exit Multiple)</t>
  </si>
  <si>
    <t xml:space="preserve">Enterprise Value (Exit Multiple Method)</t>
  </si>
  <si>
    <t xml:space="preserve">Valuation Summary — DCF vs. Comparables, Side by Side</t>
  </si>
  <si>
    <t xml:space="preserve">Methodology</t>
  </si>
  <si>
    <t xml:space="preserve">Point Estimate</t>
  </si>
  <si>
    <t xml:space="preserve">DCF — Perpetuity Growth</t>
  </si>
  <si>
    <t xml:space="preserve">DCF — Exit Multiple (±1.0x)</t>
  </si>
  <si>
    <t xml:space="preserve">Comps — EV/EBITDA (range)</t>
  </si>
  <si>
    <t xml:space="preserve">Comps — EV/Revenue (range)</t>
  </si>
  <si>
    <t xml:space="preserve">Comps — P/E (range)</t>
  </si>
  <si>
    <t xml:space="preserve">Implied Valuation Range (All Methods)</t>
  </si>
  <si>
    <t xml:space="preserve">DCF - Perpetuity</t>
  </si>
  <si>
    <t xml:space="preserve">DCF - Exit Mult.</t>
  </si>
  <si>
    <t xml:space="preserve">Comps - EV/EBITDA</t>
  </si>
  <si>
    <t xml:space="preserve">Comps - EV/Rev</t>
  </si>
  <si>
    <t xml:space="preserve">Comps - P/E</t>
  </si>
  <si>
    <t xml:space="preserve">(chart helper) base = Low</t>
  </si>
  <si>
    <t xml:space="preserve">(chart helper) span = High - Low</t>
  </si>
  <si>
    <t xml:space="preserve">SENSITIVITY ANALYSIS  —  IMPLIED SHARE PRICE</t>
  </si>
  <si>
    <t xml:space="preserve">Two-Way Data Table: WACC (rows) × Terminal Growth Rate (columns)</t>
  </si>
  <si>
    <t xml:space="preserve">WACC  \  Terminal Growth</t>
  </si>
  <si>
    <t xml:space="preserve">Base case (center cell, gold) matches the DCF Valuation tab's implied share price.</t>
  </si>
  <si>
    <t xml:space="preserve">Each cell independently recomputes Enterprise → Equity Value → Share Price for its WACC/g pair.</t>
  </si>
  <si>
    <t xml:space="preserve">ECONOMETRICS  &amp;  REGRESSION LAB</t>
  </si>
  <si>
    <t xml:space="preserve">CAPM Beta Estimation — 36-Month Return Series</t>
  </si>
  <si>
    <t xml:space="preserve">Month #</t>
  </si>
  <si>
    <t xml:space="preserve">Stock Return (%)</t>
  </si>
  <si>
    <t xml:space="preserve">Market Return (%)</t>
  </si>
  <si>
    <t xml:space="preserve">Regression Output: Stock Return ~ Market Return</t>
  </si>
  <si>
    <t xml:space="preserve">Beta (Slope)</t>
  </si>
  <si>
    <t xml:space="preserve">Alpha (Intercept)</t>
  </si>
  <si>
    <t xml:space="preserve">R-Squared</t>
  </si>
  <si>
    <t xml:space="preserve">Correlation (r)</t>
  </si>
  <si>
    <t xml:space="preserve">Std. Error of Beta</t>
  </si>
  <si>
    <t xml:space="preserve">Observations (n)</t>
  </si>
  <si>
    <t xml:space="preserve">t-Statistic (Beta = 0)</t>
  </si>
  <si>
    <t xml:space="preserve">Statistically significant at 5% if |t| &gt; 2.03 (df=34)</t>
  </si>
  <si>
    <t xml:space="preserve">Macro Regression — Revenue Growth Sensitivity to GDP Growth</t>
  </si>
  <si>
    <t xml:space="preserve">Independent variable: Real GDP Growth (%), FY2022–FY2025 (Assumptions!D7:G7)</t>
  </si>
  <si>
    <t xml:space="preserve">Segment</t>
  </si>
  <si>
    <t xml:space="preserve">GDP Beta (Slope)</t>
  </si>
  <si>
    <t xml:space="preserve">Intercept</t>
  </si>
  <si>
    <t xml:space="preserve">R²</t>
  </si>
  <si>
    <t xml:space="preserve">Correlation</t>
  </si>
  <si>
    <t xml:space="preserve">Segment Growth Correlation Matrix (FY2022–FY2025)</t>
  </si>
  <si>
    <t xml:space="preserve">MODEL INTEGRITY CHECKS</t>
  </si>
  <si>
    <t xml:space="preserve">Overall Status</t>
  </si>
  <si>
    <t xml:space="preserve">Assets = Liabilities + Equity</t>
  </si>
  <si>
    <t xml:space="preserve">Balance Sheet's Balance Check row (Assets − Liab&amp;Equity) is tested for all 10 years; must equal zero (within $0.01) every year.</t>
  </si>
  <si>
    <t xml:space="preserve">Cash Flow Reconciles to Balance Sheet</t>
  </si>
  <si>
    <t xml:space="preserve">Ending Cash on the Cash Flow Statement is tested against the Cash balance carried on the Balance Sheet for FY2022–FY2030.</t>
  </si>
  <si>
    <t xml:space="preserve">Net Income Linked Correctly</t>
  </si>
  <si>
    <t xml:space="preserve">Confirms Net Income flows identically from the Income Statement into the Cash Flow Statement, and that Retained Earnings rolls forward by exactly Net Income each year (no dividends/plugs).</t>
  </si>
  <si>
    <t xml:space="preserve">No Formula Errors (REF, DIV-by-zero, N/A, etc.)</t>
  </si>
  <si>
    <t xml:space="preserve">Scans every statement, the revenue build, assumptions, sensitivity grid, and econometrics lab for any error-valued cell.</t>
  </si>
  <si>
    <t xml:space="preserve">Circular References = 0  (Design Confirmation)</t>
  </si>
  <si>
    <t xml:space="preserve">Unlike the other rows on this sheet, this is not a live formula test — no worksheet formula can detect circularity. It is manually confirmed: debt is a scheduled roll-forward (opening + new borrowings − repayments, each a manual input) rather than a cash-sweep revolver, so ending debt and interest expense never depend on the cash flow they help produce. You can independently verify this via Excel's Formulas &gt; Error Checking &gt; Circular References menu (will report none), with iterative calculation OFF.</t>
  </si>
  <si>
    <t xml:space="preserve">Segment Revenue Ties to Total</t>
  </si>
  <si>
    <t xml:space="preserve">Heritage Textiles + Private Wealth Advisory + Fine Estates revenue sums to Total Revenue for all 10 years.</t>
  </si>
  <si>
    <t xml:space="preserve">Units × ASP = Segment Revenue</t>
  </si>
  <si>
    <t xml:space="preserve">Heritage Textiles Revenue independently recomputed as Units Sold × Average Selling Price and compared to the reported Revenue line.</t>
  </si>
  <si>
    <t xml:space="preserve">Sensitivity Base Case Matches DCF</t>
  </si>
  <si>
    <t xml:space="preserve">The center cell of the WACC × Terminal Growth sensitivity grid (Sensitivity!F11) is cross-checked against the DCF tab's Implied Share Price.</t>
  </si>
  <si>
    <t xml:space="preserve">Debt Schedule Ties to Balance Sheet</t>
  </si>
  <si>
    <t xml:space="preserve">Ending Debt Balance on the Debt Schedule is tested against the Long-Term Debt line carried on the Balance Sheet for all 10 years.</t>
  </si>
  <si>
    <t xml:space="preserve">Working Capital Schedule Ties to Balance Sheet</t>
  </si>
  <si>
    <t xml:space="preserve">Accounts Receivable, Inventory, and Accounts Payable on the Working Capital schedule (DSO/DIO/DPO-driven) are tested against the corresponding Balance Sheet lines.</t>
  </si>
</sst>
</file>

<file path=xl/styles.xml><?xml version="1.0" encoding="utf-8"?>
<styleSheet xmlns="http://schemas.openxmlformats.org/spreadsheetml/2006/main">
  <numFmts count="14">
    <numFmt numFmtId="164" formatCode="General"/>
    <numFmt numFmtId="165" formatCode="\$#,##0;&quot;($&quot;#,##0\);\-"/>
    <numFmt numFmtId="166" formatCode="\$#,##0.00;&quot;($&quot;#,##0.00\);\-"/>
    <numFmt numFmtId="167" formatCode="0.0%;\(0.0%\);\-"/>
    <numFmt numFmtId="168" formatCode="0.00"/>
    <numFmt numFmtId="169" formatCode="0.0%"/>
    <numFmt numFmtId="170" formatCode="General"/>
    <numFmt numFmtId="171" formatCode="0"/>
    <numFmt numFmtId="172" formatCode="\$#,##0.0;&quot;($&quot;#,##0.0\);\-"/>
    <numFmt numFmtId="173" formatCode="0.0"/>
    <numFmt numFmtId="174" formatCode="0.000"/>
    <numFmt numFmtId="175" formatCode="0.00\x"/>
    <numFmt numFmtId="176" formatCode="0.00%;\(0.00%\);\-"/>
    <numFmt numFmtId="177" formatCode="0.0000"/>
  </numFmts>
  <fonts count="82">
    <font>
      <sz val="11"/>
      <color theme="1"/>
      <name val="Calibri"/>
      <family val="2"/>
      <charset val="1"/>
    </font>
    <font>
      <sz val="10"/>
      <name val="Arial"/>
      <family val="0"/>
    </font>
    <font>
      <sz val="10"/>
      <name val="Arial"/>
      <family val="0"/>
    </font>
    <font>
      <sz val="10"/>
      <name val="Arial"/>
      <family val="0"/>
    </font>
    <font>
      <b val="true"/>
      <sz val="30"/>
      <color rgb="FF1F3D2B"/>
      <name val="Georgia"/>
      <family val="0"/>
      <charset val="1"/>
    </font>
    <font>
      <sz val="15"/>
      <color rgb="FFB8860B"/>
      <name val="Georgia"/>
      <family val="0"/>
      <charset val="1"/>
    </font>
    <font>
      <i val="true"/>
      <sz val="13"/>
      <color rgb="FF1B2A4A"/>
      <name val="Garamond"/>
      <family val="0"/>
      <charset val="1"/>
    </font>
    <font>
      <sz val="11.5"/>
      <color rgb="FF7A7264"/>
      <name val="Garamond"/>
      <family val="0"/>
      <charset val="1"/>
    </font>
    <font>
      <sz val="48"/>
      <color rgb="FFB8860B"/>
      <name val="Georgia"/>
      <family val="0"/>
      <charset val="1"/>
    </font>
    <font>
      <b val="true"/>
      <sz val="12"/>
      <color rgb="FFFAF6EF"/>
      <name val="Georgia"/>
      <family val="0"/>
      <charset val="1"/>
    </font>
    <font>
      <b val="true"/>
      <sz val="11"/>
      <color rgb="FFB8860B"/>
      <name val="Georgia"/>
      <family val="0"/>
      <charset val="1"/>
    </font>
    <font>
      <u val="single"/>
      <sz val="12"/>
      <color rgb="FF2E6F40"/>
      <name val="Garamond"/>
      <family val="0"/>
      <charset val="1"/>
    </font>
    <font>
      <i val="true"/>
      <sz val="9"/>
      <color rgb="FFFAF6EF"/>
      <name val="Garamond"/>
      <family val="0"/>
      <charset val="1"/>
    </font>
    <font>
      <b val="true"/>
      <sz val="18"/>
      <color rgb="FFFAF6EF"/>
      <name val="Georgia"/>
      <family val="0"/>
      <charset val="1"/>
    </font>
    <font>
      <b val="true"/>
      <i val="true"/>
      <sz val="12"/>
      <color rgb="FF1B2A4A"/>
      <name val="Garamond"/>
      <family val="0"/>
      <charset val="1"/>
    </font>
    <font>
      <b val="true"/>
      <sz val="10"/>
      <color rgb="FFB8860B"/>
      <name val="Georgia"/>
      <family val="0"/>
      <charset val="1"/>
    </font>
    <font>
      <sz val="10"/>
      <color rgb="FF2B2B2B"/>
      <name val="Garamond"/>
      <family val="0"/>
      <charset val="1"/>
    </font>
    <font>
      <sz val="10.5"/>
      <color rgb="FF2B2B2B"/>
      <name val="Garamond"/>
      <family val="0"/>
      <charset val="1"/>
    </font>
    <font>
      <b val="true"/>
      <sz val="10.5"/>
      <color rgb="FF1F4E8C"/>
      <name val="Georgia"/>
      <family val="0"/>
      <charset val="1"/>
    </font>
    <font>
      <b val="true"/>
      <sz val="10.5"/>
      <color rgb="FF2B2B2B"/>
      <name val="Georgia"/>
      <family val="0"/>
      <charset val="1"/>
    </font>
    <font>
      <b val="true"/>
      <sz val="10.5"/>
      <color rgb="FF2E6F40"/>
      <name val="Georgia"/>
      <family val="0"/>
      <charset val="1"/>
    </font>
    <font>
      <b val="true"/>
      <sz val="10.5"/>
      <color rgb="FFB8860B"/>
      <name val="Georgia"/>
      <family val="0"/>
      <charset val="1"/>
    </font>
    <font>
      <b val="true"/>
      <sz val="10"/>
      <color rgb="FF1F3D2B"/>
      <name val="Garamond"/>
      <family val="0"/>
      <charset val="1"/>
    </font>
    <font>
      <b val="true"/>
      <sz val="9.5"/>
      <color rgb="FF1B2A4A"/>
      <name val="Consolas"/>
      <family val="0"/>
      <charset val="1"/>
    </font>
    <font>
      <i val="true"/>
      <sz val="10"/>
      <color rgb="FF7A7264"/>
      <name val="Garamond"/>
      <family val="0"/>
      <charset val="1"/>
    </font>
    <font>
      <i val="true"/>
      <sz val="8"/>
      <color rgb="FF7A7264"/>
      <name val="Garamond"/>
      <family val="0"/>
      <charset val="1"/>
    </font>
    <font>
      <i val="true"/>
      <sz val="11"/>
      <color rgb="FF1B2A4A"/>
      <name val="Garamond"/>
      <family val="0"/>
      <charset val="1"/>
    </font>
    <font>
      <b val="true"/>
      <sz val="9.5"/>
      <color rgb="FFFAF6EF"/>
      <name val="Georgia"/>
      <family val="0"/>
      <charset val="1"/>
    </font>
    <font>
      <b val="true"/>
      <sz val="20"/>
      <color rgb="FF1F3D2B"/>
      <name val="Georgia"/>
      <family val="0"/>
      <charset val="1"/>
    </font>
    <font>
      <i val="true"/>
      <sz val="9"/>
      <color rgb="FF7A7264"/>
      <name val="Garamond"/>
      <family val="0"/>
      <charset val="1"/>
    </font>
    <font>
      <b val="true"/>
      <sz val="12"/>
      <color rgb="FFB8860B"/>
      <name val="Garamond"/>
      <family val="0"/>
      <charset val="1"/>
    </font>
    <font>
      <sz val="11"/>
      <color rgb="FF2B2B2B"/>
      <name val="Garamond"/>
      <family val="0"/>
      <charset val="1"/>
    </font>
    <font>
      <sz val="9"/>
      <color rgb="FF2E6F40"/>
      <name val="Garamond"/>
      <family val="0"/>
      <charset val="1"/>
    </font>
    <font>
      <sz val="9"/>
      <color rgb="FF2B2B2B"/>
      <name val="Garamond"/>
      <family val="0"/>
      <charset val="1"/>
    </font>
    <font>
      <sz val="8"/>
      <name val="Garamond"/>
      <family val="0"/>
      <charset val="1"/>
    </font>
    <font>
      <sz val="8"/>
      <color rgb="FF7A7264"/>
      <name val="Garamond"/>
      <family val="0"/>
      <charset val="1"/>
    </font>
    <font>
      <sz val="8"/>
      <color rgb="FF2E6F40"/>
      <name val="Garamond"/>
      <family val="0"/>
      <charset val="1"/>
    </font>
    <font>
      <b val="true"/>
      <sz val="10.5"/>
      <color rgb="FF1B2A4A"/>
      <name val="Garamond"/>
      <family val="0"/>
      <charset val="1"/>
    </font>
    <font>
      <b val="true"/>
      <sz val="9"/>
      <color rgb="FFFAF6EF"/>
      <name val="Georgia"/>
      <family val="0"/>
      <charset val="1"/>
    </font>
    <font>
      <sz val="9.5"/>
      <color rgb="FF2B2B2B"/>
      <name val="Garamond"/>
      <family val="0"/>
      <charset val="1"/>
    </font>
    <font>
      <sz val="9.5"/>
      <color rgb="FF2E6F40"/>
      <name val="Garamond"/>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1B2A4A"/>
      <name val="Garamond"/>
      <family val="0"/>
      <charset val="1"/>
    </font>
    <font>
      <b val="true"/>
      <sz val="13"/>
      <color rgb="FFFAF6EF"/>
      <name val="Georgia"/>
      <family val="0"/>
      <charset val="1"/>
    </font>
    <font>
      <i val="true"/>
      <sz val="9.5"/>
      <color rgb="FF7A7264"/>
      <name val="Garamond"/>
      <family val="0"/>
      <charset val="1"/>
    </font>
    <font>
      <b val="true"/>
      <sz val="10"/>
      <color rgb="FF1B2A4A"/>
      <name val="Garamond"/>
      <family val="0"/>
      <charset val="1"/>
    </font>
    <font>
      <b val="true"/>
      <sz val="10"/>
      <color rgb="FFFAF6EF"/>
      <name val="Georgia"/>
      <family val="0"/>
      <charset val="1"/>
    </font>
    <font>
      <sz val="10.5"/>
      <color rgb="FF1F4E8C"/>
      <name val="Garamond"/>
      <family val="0"/>
      <charset val="1"/>
    </font>
    <font>
      <b val="true"/>
      <sz val="11"/>
      <color rgb="FF1F3D2B"/>
      <name val="Garamond"/>
      <family val="0"/>
      <charset val="1"/>
    </font>
    <font>
      <b val="true"/>
      <i val="true"/>
      <sz val="8"/>
      <color rgb="FFB8860B"/>
      <name val="Garamond"/>
      <family val="0"/>
      <charset val="1"/>
    </font>
    <font>
      <b val="true"/>
      <sz val="10.5"/>
      <color rgb="FF1B2A4A"/>
      <name val="Georgia"/>
      <family val="0"/>
      <charset val="1"/>
    </font>
    <font>
      <sz val="11"/>
      <color rgb="FF1F4E8C"/>
      <name val="Garamond"/>
      <family val="0"/>
      <charset val="1"/>
    </font>
    <font>
      <sz val="11"/>
      <color rgb="FF2E6F40"/>
      <name val="Garamond"/>
      <family val="0"/>
      <charset val="1"/>
    </font>
    <font>
      <sz val="11"/>
      <color rgb="FF1F3D2B"/>
      <name val="Garamond"/>
      <family val="0"/>
      <charset val="1"/>
    </font>
    <font>
      <b val="true"/>
      <sz val="10"/>
      <color rgb="FF2E6F40"/>
      <name val="Garamond"/>
      <family val="0"/>
      <charset val="1"/>
    </font>
    <font>
      <i val="true"/>
      <sz val="9.5"/>
      <color rgb="FF2E6F40"/>
      <name val="Garamond"/>
      <family val="0"/>
      <charset val="1"/>
    </font>
    <font>
      <b val="true"/>
      <sz val="11"/>
      <color rgb="FF2B2B2B"/>
      <name val="Garamond"/>
      <family val="0"/>
      <charset val="1"/>
    </font>
    <font>
      <b val="true"/>
      <sz val="12"/>
      <color rgb="FF2B2B2B"/>
      <name val="Garamond"/>
      <family val="0"/>
      <charset val="1"/>
    </font>
    <font>
      <b val="true"/>
      <sz val="12"/>
      <color rgb="FF1F3D2B"/>
      <name val="Georgia"/>
      <family val="0"/>
      <charset val="1"/>
    </font>
    <font>
      <i val="true"/>
      <sz val="11"/>
      <color rgb="FF2B2B2B"/>
      <name val="Garamond"/>
      <family val="0"/>
      <charset val="1"/>
    </font>
    <font>
      <sz val="10.5"/>
      <color rgb="FF7A7264"/>
      <name val="Garamond"/>
      <family val="0"/>
      <charset val="1"/>
    </font>
    <font>
      <sz val="10"/>
      <color rgb="FF7A7264"/>
      <name val="Garamond"/>
      <family val="0"/>
      <charset val="1"/>
    </font>
    <font>
      <b val="true"/>
      <sz val="11"/>
      <color rgb="FF2E6F40"/>
      <name val="Garamond"/>
      <family val="0"/>
      <charset val="1"/>
    </font>
    <font>
      <i val="true"/>
      <sz val="10"/>
      <color rgb="FF2B2B2B"/>
      <name val="Garamond"/>
      <family val="0"/>
      <charset val="1"/>
    </font>
    <font>
      <b val="true"/>
      <sz val="11.5"/>
      <color rgb="FF2B2B2B"/>
      <name val="Garamond"/>
      <family val="0"/>
      <charset val="1"/>
    </font>
    <font>
      <b val="true"/>
      <sz val="11.5"/>
      <color rgb="FF1F3D2B"/>
      <name val="Georgia"/>
      <family val="0"/>
      <charset val="1"/>
    </font>
    <font>
      <b val="true"/>
      <sz val="13"/>
      <color rgb="FF2B2B2B"/>
      <name val="Garamond"/>
      <family val="0"/>
      <charset val="1"/>
    </font>
    <font>
      <b val="true"/>
      <sz val="10.5"/>
      <color rgb="FF2B2B2B"/>
      <name val="Garamond"/>
      <family val="0"/>
      <charset val="1"/>
    </font>
    <font>
      <b val="true"/>
      <sz val="10.5"/>
      <color rgb="FF1F3D2B"/>
      <name val="Garamond"/>
      <family val="0"/>
      <charset val="1"/>
    </font>
    <font>
      <sz val="8"/>
      <color rgb="FF2B2B2B"/>
      <name val="Garamond"/>
      <family val="0"/>
      <charset val="1"/>
    </font>
    <font>
      <b val="true"/>
      <sz val="11.5"/>
      <color rgb="FF1B2A4A"/>
      <name val="Garamond"/>
      <family val="0"/>
      <charset val="1"/>
    </font>
    <font>
      <b val="true"/>
      <sz val="9.5"/>
      <color rgb="FF1B2A4A"/>
      <name val="Garamond"/>
      <family val="0"/>
      <charset val="1"/>
    </font>
    <font>
      <b val="true"/>
      <sz val="10.5"/>
      <color rgb="FFFAF6EF"/>
      <name val="Garamond"/>
      <family val="0"/>
      <charset val="1"/>
    </font>
    <font>
      <b val="true"/>
      <sz val="11"/>
      <color rgb="FF1B2A4A"/>
      <name val="Garamond"/>
      <family val="0"/>
      <charset val="1"/>
    </font>
    <font>
      <sz val="9.5"/>
      <color rgb="FF1F4E8C"/>
      <name val="Garamond"/>
      <family val="0"/>
      <charset val="1"/>
    </font>
    <font>
      <i val="true"/>
      <sz val="8.5"/>
      <color rgb="FF7A7264"/>
      <name val="Garamond"/>
      <family val="0"/>
      <charset val="1"/>
    </font>
    <font>
      <b val="true"/>
      <sz val="9.5"/>
      <color rgb="FF2B2B2B"/>
      <name val="Garamond"/>
      <family val="0"/>
      <charset val="1"/>
    </font>
    <font>
      <b val="true"/>
      <sz val="14"/>
      <color rgb="FFFAF6EF"/>
      <name val="Georgia"/>
      <family val="0"/>
      <charset val="1"/>
    </font>
    <font>
      <b val="true"/>
      <sz val="13"/>
      <name val="Georgia"/>
      <family val="0"/>
      <charset val="1"/>
    </font>
    <font>
      <b val="true"/>
      <sz val="12"/>
      <color rgb="FF1B2A4A"/>
      <name val="Georgia"/>
      <family val="0"/>
      <charset val="1"/>
    </font>
  </fonts>
  <fills count="12">
    <fill>
      <patternFill patternType="none"/>
    </fill>
    <fill>
      <patternFill patternType="gray125"/>
    </fill>
    <fill>
      <patternFill patternType="solid">
        <fgColor rgb="FF122B1D"/>
        <bgColor rgb="FF2B2B2B"/>
      </patternFill>
    </fill>
    <fill>
      <patternFill patternType="solid">
        <fgColor rgb="FFB8860B"/>
        <bgColor rgb="FFFF9900"/>
      </patternFill>
    </fill>
    <fill>
      <patternFill patternType="solid">
        <fgColor rgb="FFFAF6EF"/>
        <bgColor rgb="FFFFFDF3"/>
      </patternFill>
    </fill>
    <fill>
      <patternFill patternType="solid">
        <fgColor rgb="FF1F3D2B"/>
        <bgColor rgb="FF2B2B2B"/>
      </patternFill>
    </fill>
    <fill>
      <patternFill patternType="solid">
        <fgColor rgb="FFFFFFFF"/>
        <bgColor rgb="FFFFFDF3"/>
      </patternFill>
    </fill>
    <fill>
      <patternFill patternType="solid">
        <fgColor rgb="FF1B2A4A"/>
        <bgColor rgb="FF2B2B2B"/>
      </patternFill>
    </fill>
    <fill>
      <patternFill patternType="solid">
        <fgColor rgb="FF6E1E1E"/>
        <bgColor rgb="FF800000"/>
      </patternFill>
    </fill>
    <fill>
      <patternFill patternType="solid">
        <fgColor rgb="FFFFFDF3"/>
        <bgColor rgb="FFFFFFFF"/>
      </patternFill>
    </fill>
    <fill>
      <patternFill patternType="solid">
        <fgColor rgb="FFD9B84A"/>
        <bgColor rgb="FF9BBB59"/>
      </patternFill>
    </fill>
    <fill>
      <patternFill patternType="solid">
        <fgColor rgb="FFF1E9D8"/>
        <bgColor rgb="FFFAF6EF"/>
      </patternFill>
    </fill>
  </fills>
  <borders count="4">
    <border diagonalUp="false" diagonalDown="false">
      <left/>
      <right/>
      <top/>
      <bottom/>
      <diagonal/>
    </border>
    <border diagonalUp="false" diagonalDown="false">
      <left/>
      <right/>
      <top/>
      <bottom style="thin">
        <color rgb="FFB8860B"/>
      </bottom>
      <diagonal/>
    </border>
    <border diagonalUp="false" diagonalDown="false">
      <left style="thin">
        <color rgb="FFB8860B"/>
      </left>
      <right style="thin">
        <color rgb="FFB8860B"/>
      </right>
      <top style="thin">
        <color rgb="FFB8860B"/>
      </top>
      <bottom style="thin">
        <color rgb="FFB8860B"/>
      </bottom>
      <diagonal/>
    </border>
    <border diagonalUp="false" diagonalDown="false">
      <left/>
      <right/>
      <top style="medium">
        <color rgb="FF1F3D2B"/>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center" vertical="bottom" textRotation="0" wrapText="false" indent="0" shrinkToFit="false"/>
      <protection locked="true" hidden="false"/>
    </xf>
    <xf numFmtId="164" fontId="5" fillId="4" borderId="0"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9" fillId="5" borderId="0" xfId="0" applyFont="tru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center"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3" fillId="5" borderId="0" xfId="0" applyFont="true" applyBorder="true" applyAlignment="true" applyProtection="false">
      <alignment horizontal="left" vertical="center" textRotation="0" wrapText="false" indent="1" shrinkToFit="false"/>
      <protection locked="true" hidden="false"/>
    </xf>
    <xf numFmtId="164" fontId="14" fillId="4" borderId="0" xfId="0" applyFont="true" applyBorder="true" applyAlignment="true" applyProtection="false">
      <alignment horizontal="left" vertical="bottom" textRotation="0" wrapText="false" indent="1" shrinkToFit="false"/>
      <protection locked="true" hidden="false"/>
    </xf>
    <xf numFmtId="164" fontId="15" fillId="4" borderId="0" xfId="0" applyFont="true" applyBorder="false" applyAlignment="true" applyProtection="false">
      <alignment horizontal="left" vertical="bottom" textRotation="0" wrapText="false" indent="1"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left" vertical="center" textRotation="0" wrapText="false" indent="1" shrinkToFit="false"/>
      <protection locked="true" hidden="false"/>
    </xf>
    <xf numFmtId="164" fontId="17" fillId="4" borderId="0" xfId="0" applyFont="true" applyBorder="true" applyAlignment="true" applyProtection="false">
      <alignment horizontal="general" vertical="top" textRotation="0" wrapText="true" indent="1" shrinkToFit="false"/>
      <protection locked="true" hidden="false"/>
    </xf>
    <xf numFmtId="164" fontId="18" fillId="4" borderId="0" xfId="0" applyFont="true" applyBorder="false" applyAlignment="true" applyProtection="false">
      <alignment horizontal="left" vertical="bottom" textRotation="0" wrapText="false" indent="1" shrinkToFit="false"/>
      <protection locked="true" hidden="false"/>
    </xf>
    <xf numFmtId="164" fontId="16" fillId="4" borderId="0" xfId="0" applyFont="true" applyBorder="false" applyAlignment="true" applyProtection="false">
      <alignment horizontal="general" vertical="top" textRotation="0" wrapText="true" indent="0" shrinkToFit="false"/>
      <protection locked="true" hidden="false"/>
    </xf>
    <xf numFmtId="164" fontId="19" fillId="4" borderId="0" xfId="0" applyFont="true" applyBorder="false" applyAlignment="true" applyProtection="false">
      <alignment horizontal="left" vertical="bottom" textRotation="0" wrapText="false" indent="1" shrinkToFit="false"/>
      <protection locked="true" hidden="false"/>
    </xf>
    <xf numFmtId="164" fontId="20" fillId="4" borderId="0" xfId="0" applyFont="true" applyBorder="false" applyAlignment="true" applyProtection="false">
      <alignment horizontal="left" vertical="bottom" textRotation="0" wrapText="false" indent="1" shrinkToFit="false"/>
      <protection locked="true" hidden="false"/>
    </xf>
    <xf numFmtId="164" fontId="21" fillId="4" borderId="0" xfId="0" applyFont="true" applyBorder="false" applyAlignment="true" applyProtection="false">
      <alignment horizontal="left" vertical="bottom" textRotation="0" wrapText="false" indent="1" shrinkToFit="false"/>
      <protection locked="true" hidden="false"/>
    </xf>
    <xf numFmtId="164" fontId="22" fillId="4" borderId="0" xfId="0" applyFont="true" applyBorder="false" applyAlignment="true" applyProtection="false">
      <alignment horizontal="left" vertical="bottom" textRotation="0" wrapText="false" indent="1" shrinkToFit="false"/>
      <protection locked="true" hidden="false"/>
    </xf>
    <xf numFmtId="164" fontId="23" fillId="4" borderId="0" xfId="0" applyFont="true" applyBorder="false" applyAlignment="true" applyProtection="false">
      <alignment horizontal="left" vertical="bottom" textRotation="0" wrapText="false" indent="1" shrinkToFit="false"/>
      <protection locked="true" hidden="false"/>
    </xf>
    <xf numFmtId="164" fontId="24" fillId="4" borderId="0" xfId="0" applyFont="true" applyBorder="true" applyAlignment="true" applyProtection="false">
      <alignment horizontal="general" vertical="top" textRotation="0" wrapText="true" indent="1" shrinkToFit="false"/>
      <protection locked="true" hidden="false"/>
    </xf>
    <xf numFmtId="164" fontId="25" fillId="4" borderId="0" xfId="0" applyFont="true" applyBorder="false" applyAlignment="true" applyProtection="false">
      <alignment horizontal="left" vertical="bottom" textRotation="0" wrapText="false" indent="1" shrinkToFit="false"/>
      <protection locked="true" hidden="false"/>
    </xf>
    <xf numFmtId="164" fontId="26" fillId="4" borderId="0" xfId="0" applyFont="true" applyBorder="false" applyAlignment="true" applyProtection="false">
      <alignment horizontal="left" vertical="bottom" textRotation="0" wrapText="false" indent="1" shrinkToFit="false"/>
      <protection locked="true" hidden="false"/>
    </xf>
    <xf numFmtId="164" fontId="27" fillId="5" borderId="2" xfId="0" applyFont="true" applyBorder="true" applyAlignment="true" applyProtection="false">
      <alignment horizontal="center" vertical="bottom" textRotation="0" wrapText="false" indent="0" shrinkToFit="false"/>
      <protection locked="true" hidden="false"/>
    </xf>
    <xf numFmtId="165" fontId="28" fillId="6" borderId="2" xfId="0" applyFont="true" applyBorder="true" applyAlignment="true" applyProtection="false">
      <alignment horizontal="center" vertical="center" textRotation="0" wrapText="false" indent="0" shrinkToFit="false"/>
      <protection locked="true" hidden="false"/>
    </xf>
    <xf numFmtId="166" fontId="28" fillId="6" borderId="2" xfId="0" applyFont="true" applyBorder="true" applyAlignment="true" applyProtection="false">
      <alignment horizontal="center" vertical="center" textRotation="0" wrapText="false" indent="0" shrinkToFit="false"/>
      <protection locked="true" hidden="false"/>
    </xf>
    <xf numFmtId="164" fontId="29" fillId="6" borderId="2" xfId="0" applyFont="true" applyBorder="true" applyAlignment="true" applyProtection="false">
      <alignment horizontal="center" vertical="bottom" textRotation="0" wrapText="false" indent="0" shrinkToFit="false"/>
      <protection locked="true" hidden="false"/>
    </xf>
    <xf numFmtId="167" fontId="30" fillId="6" borderId="2" xfId="0" applyFont="true" applyBorder="true" applyAlignment="true" applyProtection="false">
      <alignment horizontal="center" vertical="bottom" textRotation="0" wrapText="false" indent="0" shrinkToFit="false"/>
      <protection locked="true" hidden="false"/>
    </xf>
    <xf numFmtId="168" fontId="30" fillId="6" borderId="2" xfId="0" applyFont="true" applyBorder="true" applyAlignment="true" applyProtection="false">
      <alignment horizontal="center" vertical="bottom" textRotation="0" wrapText="false" indent="0" shrinkToFit="false"/>
      <protection locked="true" hidden="false"/>
    </xf>
    <xf numFmtId="164" fontId="31" fillId="4" borderId="0" xfId="0" applyFont="true" applyBorder="false" applyAlignment="true" applyProtection="false">
      <alignment horizontal="left" vertical="bottom" textRotation="0" wrapText="false" indent="1" shrinkToFit="false"/>
      <protection locked="true" hidden="false"/>
    </xf>
    <xf numFmtId="165" fontId="32" fillId="4" borderId="0" xfId="0" applyFont="true" applyBorder="false" applyAlignment="true" applyProtection="false">
      <alignment horizontal="right" vertical="bottom" textRotation="0" wrapText="false" indent="0" shrinkToFit="false"/>
      <protection locked="true" hidden="false"/>
    </xf>
    <xf numFmtId="167" fontId="32" fillId="4" borderId="0" xfId="0" applyFont="true" applyBorder="false" applyAlignment="true" applyProtection="false">
      <alignment horizontal="right" vertical="bottom" textRotation="0" wrapText="false" indent="0" shrinkToFit="false"/>
      <protection locked="true" hidden="false"/>
    </xf>
    <xf numFmtId="164" fontId="33" fillId="4" borderId="0" xfId="0" applyFont="true" applyBorder="false" applyAlignment="true" applyProtection="false">
      <alignment horizontal="left" vertical="bottom" textRotation="0" wrapText="false" indent="1" shrinkToFit="false"/>
      <protection locked="true" hidden="false"/>
    </xf>
    <xf numFmtId="164" fontId="34" fillId="4" borderId="0" xfId="0" applyFont="true" applyBorder="false" applyAlignment="true" applyProtection="false">
      <alignment horizontal="center" vertical="bottom" textRotation="0" wrapText="true" indent="0" shrinkToFit="false"/>
      <protection locked="true" hidden="false"/>
    </xf>
    <xf numFmtId="164" fontId="35" fillId="4" borderId="0" xfId="0" applyFont="true" applyBorder="false" applyAlignment="true" applyProtection="false">
      <alignment horizontal="left" vertical="bottom" textRotation="0" wrapText="false" indent="1" shrinkToFit="false"/>
      <protection locked="true" hidden="false"/>
    </xf>
    <xf numFmtId="165" fontId="36" fillId="4" borderId="0" xfId="0" applyFont="true" applyBorder="fals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left" vertical="bottom" textRotation="0" wrapText="false" indent="1" shrinkToFit="false"/>
      <protection locked="true" hidden="false"/>
    </xf>
    <xf numFmtId="164" fontId="38" fillId="5" borderId="0" xfId="0" applyFont="true" applyBorder="false" applyAlignment="true" applyProtection="false">
      <alignment horizontal="left" vertical="bottom" textRotation="0" wrapText="false" indent="1" shrinkToFit="false"/>
      <protection locked="true" hidden="false"/>
    </xf>
    <xf numFmtId="164" fontId="38" fillId="5" borderId="0" xfId="0" applyFont="true" applyBorder="fals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left" vertical="bottom" textRotation="0" wrapText="false" indent="1" shrinkToFit="false"/>
      <protection locked="true" hidden="false"/>
    </xf>
    <xf numFmtId="166" fontId="40" fillId="0" borderId="0" xfId="0" applyFont="true" applyBorder="false" applyAlignment="true" applyProtection="false">
      <alignment horizontal="right" vertical="bottom" textRotation="0" wrapText="false" indent="0" shrinkToFit="false"/>
      <protection locked="true" hidden="false"/>
    </xf>
    <xf numFmtId="166" fontId="29" fillId="0" borderId="0" xfId="0" applyFont="true" applyBorder="false" applyAlignment="true" applyProtection="false">
      <alignment horizontal="right" vertical="bottom" textRotation="0" wrapText="false" indent="0" shrinkToFit="false"/>
      <protection locked="true" hidden="false"/>
    </xf>
    <xf numFmtId="166" fontId="39" fillId="0" borderId="0" xfId="0" applyFont="true" applyBorder="false" applyAlignment="true" applyProtection="false">
      <alignment horizontal="right" vertical="bottom" textRotation="0" wrapText="false" indent="0" shrinkToFit="false"/>
      <protection locked="true" hidden="false"/>
    </xf>
    <xf numFmtId="164" fontId="44" fillId="4" borderId="0" xfId="0" applyFont="true" applyBorder="false" applyAlignment="true" applyProtection="false">
      <alignment horizontal="left" vertical="bottom" textRotation="0" wrapText="false" indent="1" shrinkToFit="false"/>
      <protection locked="true" hidden="false"/>
    </xf>
    <xf numFmtId="164" fontId="45" fillId="7" borderId="2" xfId="0" applyFont="true" applyBorder="true" applyAlignment="true" applyProtection="false">
      <alignment horizontal="center" vertical="bottom" textRotation="0" wrapText="false" indent="0" shrinkToFit="false"/>
      <protection locked="true" hidden="false"/>
    </xf>
    <xf numFmtId="164" fontId="46" fillId="4" borderId="0" xfId="0" applyFont="true" applyBorder="false" applyAlignment="true" applyProtection="false">
      <alignment horizontal="left" vertical="bottom" textRotation="0" wrapText="false" indent="1" shrinkToFit="false"/>
      <protection locked="true" hidden="false"/>
    </xf>
    <xf numFmtId="170" fontId="46" fillId="4" borderId="0" xfId="0" applyFont="true" applyBorder="false" applyAlignment="true" applyProtection="false">
      <alignment horizontal="center" vertical="bottom" textRotation="0" wrapText="false" indent="0" shrinkToFit="false"/>
      <protection locked="true" hidden="false"/>
    </xf>
    <xf numFmtId="164" fontId="37" fillId="4" borderId="0" xfId="0" applyFont="true" applyBorder="false" applyAlignment="true" applyProtection="false">
      <alignment horizontal="left" vertical="bottom" textRotation="0" wrapText="false" indent="1" shrinkToFit="false"/>
      <protection locked="true" hidden="false"/>
    </xf>
    <xf numFmtId="164" fontId="46" fillId="4" borderId="0" xfId="0" applyFont="true" applyBorder="true" applyAlignment="true" applyProtection="false">
      <alignment horizontal="general" vertical="top" textRotation="0" wrapText="true" indent="0" shrinkToFit="false"/>
      <protection locked="true" hidden="false"/>
    </xf>
    <xf numFmtId="164" fontId="47" fillId="4" borderId="0" xfId="0" applyFont="true" applyBorder="false" applyAlignment="true" applyProtection="false">
      <alignment horizontal="left" vertical="bottom" textRotation="0" wrapText="false" indent="1" shrinkToFit="false"/>
      <protection locked="true" hidden="false"/>
    </xf>
    <xf numFmtId="164" fontId="48" fillId="8" borderId="0" xfId="0" applyFont="true" applyBorder="false" applyAlignment="true" applyProtection="false">
      <alignment horizontal="center" vertical="bottom" textRotation="0" wrapText="false" indent="0" shrinkToFit="false"/>
      <protection locked="true" hidden="false"/>
    </xf>
    <xf numFmtId="164" fontId="48" fillId="7" borderId="0" xfId="0" applyFont="true" applyBorder="false" applyAlignment="true" applyProtection="false">
      <alignment horizontal="center" vertical="bottom" textRotation="0" wrapText="false" indent="0" shrinkToFit="false"/>
      <protection locked="true" hidden="false"/>
    </xf>
    <xf numFmtId="164" fontId="48" fillId="5" borderId="0" xfId="0" applyFont="true" applyBorder="false" applyAlignment="true" applyProtection="false">
      <alignment horizontal="center" vertical="bottom" textRotation="0" wrapText="false" indent="0" shrinkToFit="false"/>
      <protection locked="true" hidden="false"/>
    </xf>
    <xf numFmtId="164" fontId="48" fillId="3" borderId="0" xfId="0" applyFont="true" applyBorder="fals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left" vertical="bottom" textRotation="0" wrapText="false" indent="1" shrinkToFit="false"/>
      <protection locked="true" hidden="false"/>
    </xf>
    <xf numFmtId="167" fontId="49" fillId="9" borderId="0" xfId="0" applyFont="true" applyBorder="false" applyAlignment="true" applyProtection="false">
      <alignment horizontal="center" vertical="bottom" textRotation="0" wrapText="false" indent="0" shrinkToFit="false"/>
      <protection locked="true" hidden="false"/>
    </xf>
    <xf numFmtId="167" fontId="50" fillId="10"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true" applyAlignment="true" applyProtection="false">
      <alignment horizontal="center" vertical="bottom" textRotation="0" wrapText="false" indent="0" shrinkToFit="false"/>
      <protection locked="true" hidden="false"/>
    </xf>
    <xf numFmtId="164" fontId="51" fillId="4" borderId="0" xfId="0" applyFont="true" applyBorder="true" applyAlignment="true" applyProtection="false">
      <alignment horizontal="center" vertical="bottom" textRotation="0" wrapText="false" indent="0" shrinkToFit="false"/>
      <protection locked="true" hidden="false"/>
    </xf>
    <xf numFmtId="171" fontId="52" fillId="11" borderId="1" xfId="0" applyFont="true" applyBorder="true" applyAlignment="true" applyProtection="false">
      <alignment horizontal="center" vertical="bottom" textRotation="0" wrapText="false" indent="0" shrinkToFit="false"/>
      <protection locked="true" hidden="false"/>
    </xf>
    <xf numFmtId="171" fontId="52" fillId="10" borderId="1"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1" shrinkToFit="false"/>
      <protection locked="true" hidden="false"/>
    </xf>
    <xf numFmtId="167" fontId="53" fillId="9" borderId="0" xfId="0" applyFont="true" applyBorder="false" applyAlignment="true" applyProtection="false">
      <alignment horizontal="right" vertical="bottom" textRotation="0" wrapText="false" indent="0" shrinkToFit="false"/>
      <protection locked="true" hidden="false"/>
    </xf>
    <xf numFmtId="167" fontId="53" fillId="4" borderId="0" xfId="0" applyFont="true" applyBorder="false" applyAlignment="true" applyProtection="false">
      <alignment horizontal="right" vertical="bottom" textRotation="0" wrapText="false" indent="0" shrinkToFit="false"/>
      <protection locked="true" hidden="false"/>
    </xf>
    <xf numFmtId="167" fontId="0" fillId="4" borderId="0" xfId="0" applyFont="false" applyBorder="false" applyAlignment="true" applyProtection="false">
      <alignment horizontal="right" vertical="bottom" textRotation="0" wrapText="false" indent="0" shrinkToFit="false"/>
      <protection locked="true" hidden="false"/>
    </xf>
    <xf numFmtId="167" fontId="54" fillId="4" borderId="0" xfId="0" applyFont="true" applyBorder="false" applyAlignment="true" applyProtection="false">
      <alignment horizontal="right" vertical="bottom" textRotation="0" wrapText="false" indent="0" shrinkToFit="false"/>
      <protection locked="true" hidden="false"/>
    </xf>
    <xf numFmtId="167" fontId="55" fillId="4" borderId="0" xfId="0" applyFont="true" applyBorder="false" applyAlignment="true" applyProtection="false">
      <alignment horizontal="right" vertical="bottom" textRotation="0" wrapText="false" indent="0" shrinkToFit="false"/>
      <protection locked="true" hidden="false"/>
    </xf>
    <xf numFmtId="164" fontId="24" fillId="4" borderId="0" xfId="0" applyFont="true" applyBorder="false" applyAlignment="true" applyProtection="false">
      <alignment horizontal="left" vertical="bottom" textRotation="0" wrapText="false" indent="1" shrinkToFit="false"/>
      <protection locked="true" hidden="false"/>
    </xf>
    <xf numFmtId="167" fontId="56" fillId="4" borderId="0" xfId="0" applyFont="true" applyBorder="false" applyAlignment="true" applyProtection="false">
      <alignment horizontal="right" vertical="bottom" textRotation="0" wrapText="false" indent="0" shrinkToFit="false"/>
      <protection locked="true" hidden="false"/>
    </xf>
    <xf numFmtId="164" fontId="57" fillId="4" borderId="0" xfId="0" applyFont="true" applyBorder="false" applyAlignment="false" applyProtection="false">
      <alignment horizontal="general" vertical="bottom" textRotation="0" wrapText="false" indent="0" shrinkToFit="false"/>
      <protection locked="true" hidden="false"/>
    </xf>
    <xf numFmtId="168" fontId="54" fillId="4" borderId="0" xfId="0" applyFont="true" applyBorder="false" applyAlignment="true" applyProtection="false">
      <alignment horizontal="right" vertical="bottom" textRotation="0" wrapText="false" indent="0" shrinkToFit="false"/>
      <protection locked="true" hidden="false"/>
    </xf>
    <xf numFmtId="164" fontId="58" fillId="4" borderId="0" xfId="0" applyFont="true" applyBorder="false" applyAlignment="true" applyProtection="false">
      <alignment horizontal="left" vertical="bottom" textRotation="0" wrapText="false" indent="1" shrinkToFit="false"/>
      <protection locked="true" hidden="false"/>
    </xf>
    <xf numFmtId="167" fontId="58" fillId="4" borderId="0" xfId="0" applyFont="true" applyBorder="false" applyAlignment="true" applyProtection="false">
      <alignment horizontal="right" vertical="bottom" textRotation="0" wrapText="false" indent="0" shrinkToFit="false"/>
      <protection locked="true" hidden="false"/>
    </xf>
    <xf numFmtId="167" fontId="31" fillId="4" borderId="0" xfId="0" applyFont="true" applyBorder="false" applyAlignment="true" applyProtection="false">
      <alignment horizontal="right" vertical="bottom" textRotation="0" wrapText="false" indent="0" shrinkToFit="false"/>
      <protection locked="true" hidden="false"/>
    </xf>
    <xf numFmtId="172" fontId="53" fillId="4" borderId="0" xfId="0" applyFont="true" applyBorder="false" applyAlignment="true" applyProtection="false">
      <alignment horizontal="right" vertical="bottom" textRotation="0" wrapText="false" indent="0" shrinkToFit="false"/>
      <protection locked="true" hidden="false"/>
    </xf>
    <xf numFmtId="165" fontId="53" fillId="9" borderId="0" xfId="0" applyFont="true" applyBorder="false" applyAlignment="true" applyProtection="false">
      <alignment horizontal="right" vertical="bottom" textRotation="0" wrapText="false" indent="0" shrinkToFit="false"/>
      <protection locked="true" hidden="false"/>
    </xf>
    <xf numFmtId="164" fontId="29" fillId="4" borderId="0" xfId="0" applyFont="true" applyBorder="false" applyAlignment="false" applyProtection="false">
      <alignment horizontal="general" vertical="bottom" textRotation="0" wrapText="false" indent="0" shrinkToFit="false"/>
      <protection locked="true" hidden="false"/>
    </xf>
    <xf numFmtId="165" fontId="53" fillId="4" borderId="0" xfId="0" applyFont="true" applyBorder="false" applyAlignment="true" applyProtection="false">
      <alignment horizontal="right" vertical="bottom" textRotation="0" wrapText="false" indent="0" shrinkToFit="false"/>
      <protection locked="true" hidden="false"/>
    </xf>
    <xf numFmtId="172" fontId="53" fillId="9" borderId="0" xfId="0" applyFont="true" applyBorder="false" applyAlignment="true" applyProtection="false">
      <alignment horizontal="right" vertical="bottom" textRotation="0" wrapText="false" indent="0" shrinkToFit="false"/>
      <protection locked="true" hidden="false"/>
    </xf>
    <xf numFmtId="172" fontId="31" fillId="4" borderId="0" xfId="0" applyFont="true" applyBorder="false" applyAlignment="true" applyProtection="false">
      <alignment horizontal="right" vertical="bottom" textRotation="0" wrapText="false" indent="0" shrinkToFit="false"/>
      <protection locked="true" hidden="false"/>
    </xf>
    <xf numFmtId="166" fontId="53" fillId="9" borderId="0" xfId="0" applyFont="true" applyBorder="false" applyAlignment="true" applyProtection="false">
      <alignment horizontal="right" vertical="bottom" textRotation="0" wrapText="false" indent="0" shrinkToFit="false"/>
      <protection locked="true" hidden="false"/>
    </xf>
    <xf numFmtId="166" fontId="31" fillId="4" borderId="0" xfId="0" applyFont="true" applyBorder="false" applyAlignment="true" applyProtection="false">
      <alignment horizontal="right" vertical="bottom" textRotation="0" wrapText="false" indent="0" shrinkToFit="false"/>
      <protection locked="true" hidden="false"/>
    </xf>
    <xf numFmtId="165" fontId="58" fillId="4" borderId="3" xfId="0" applyFont="true" applyBorder="true" applyAlignment="true" applyProtection="false">
      <alignment horizontal="right" vertical="bottom" textRotation="0" wrapText="false" indent="0" shrinkToFit="false"/>
      <protection locked="true" hidden="false"/>
    </xf>
    <xf numFmtId="164" fontId="59" fillId="4" borderId="0" xfId="0" applyFont="true" applyBorder="false" applyAlignment="true" applyProtection="false">
      <alignment horizontal="left" vertical="bottom" textRotation="0" wrapText="false" indent="1" shrinkToFit="false"/>
      <protection locked="true" hidden="false"/>
    </xf>
    <xf numFmtId="165" fontId="60" fillId="10" borderId="3" xfId="0" applyFont="true" applyBorder="true" applyAlignment="true" applyProtection="false">
      <alignment horizontal="right" vertical="bottom" textRotation="0" wrapText="false" indent="0" shrinkToFit="false"/>
      <protection locked="true" hidden="false"/>
    </xf>
    <xf numFmtId="164" fontId="61" fillId="4" borderId="0" xfId="0" applyFont="true" applyBorder="false" applyAlignment="true" applyProtection="false">
      <alignment horizontal="left" vertical="bottom" textRotation="0" wrapText="false" indent="1" shrinkToFit="false"/>
      <protection locked="true" hidden="false"/>
    </xf>
    <xf numFmtId="167" fontId="24" fillId="4" borderId="0" xfId="0" applyFont="true" applyBorder="false" applyAlignment="true" applyProtection="false">
      <alignment horizontal="right" vertical="bottom" textRotation="0" wrapText="false" indent="0" shrinkToFit="false"/>
      <protection locked="true" hidden="false"/>
    </xf>
    <xf numFmtId="164" fontId="62" fillId="4" borderId="0" xfId="0" applyFont="true" applyBorder="false" applyAlignment="true" applyProtection="false">
      <alignment horizontal="left" vertical="bottom" textRotation="0" wrapText="false" indent="1" shrinkToFit="false"/>
      <protection locked="true" hidden="false"/>
    </xf>
    <xf numFmtId="167" fontId="63" fillId="4" borderId="0" xfId="0" applyFont="true" applyBorder="false" applyAlignment="true" applyProtection="false">
      <alignment horizontal="right" vertical="bottom" textRotation="0" wrapText="false" indent="0" shrinkToFit="false"/>
      <protection locked="true" hidden="false"/>
    </xf>
    <xf numFmtId="165" fontId="64" fillId="4" borderId="0" xfId="0" applyFont="true" applyBorder="false" applyAlignment="true" applyProtection="false">
      <alignment horizontal="right" vertical="bottom" textRotation="0" wrapText="false" indent="0" shrinkToFit="false"/>
      <protection locked="true" hidden="false"/>
    </xf>
    <xf numFmtId="165" fontId="31" fillId="4" borderId="0" xfId="0" applyFont="true" applyBorder="false" applyAlignment="true" applyProtection="false">
      <alignment horizontal="right" vertical="bottom" textRotation="0" wrapText="false" indent="0" shrinkToFit="false"/>
      <protection locked="true" hidden="false"/>
    </xf>
    <xf numFmtId="164" fontId="65" fillId="4" borderId="0" xfId="0" applyFont="true" applyBorder="false" applyAlignment="true" applyProtection="false">
      <alignment horizontal="left" vertical="bottom" textRotation="0" wrapText="false" indent="1" shrinkToFit="false"/>
      <protection locked="true" hidden="false"/>
    </xf>
    <xf numFmtId="165" fontId="58" fillId="11" borderId="3" xfId="0" applyFont="true" applyBorder="true" applyAlignment="true" applyProtection="false">
      <alignment horizontal="right" vertical="bottom" textRotation="0" wrapText="false" indent="0" shrinkToFit="false"/>
      <protection locked="true" hidden="false"/>
    </xf>
    <xf numFmtId="165" fontId="54" fillId="4" borderId="0" xfId="0" applyFont="true" applyBorder="false" applyAlignment="true" applyProtection="false">
      <alignment horizontal="right" vertical="bottom" textRotation="0" wrapText="false" indent="0" shrinkToFit="false"/>
      <protection locked="true" hidden="false"/>
    </xf>
    <xf numFmtId="172" fontId="54" fillId="4" borderId="0" xfId="0" applyFont="true" applyBorder="false" applyAlignment="true" applyProtection="false">
      <alignment horizontal="right" vertical="bottom" textRotation="0" wrapText="false" indent="0" shrinkToFit="false"/>
      <protection locked="true" hidden="false"/>
    </xf>
    <xf numFmtId="166" fontId="58" fillId="4" borderId="0" xfId="0" applyFont="true" applyBorder="false" applyAlignment="true" applyProtection="false">
      <alignment horizontal="right" vertical="bottom" textRotation="0" wrapText="false" indent="0" shrinkToFit="false"/>
      <protection locked="true" hidden="false"/>
    </xf>
    <xf numFmtId="173" fontId="53" fillId="9" borderId="0" xfId="0" applyFont="true" applyBorder="false" applyAlignment="true" applyProtection="false">
      <alignment horizontal="right" vertical="bottom" textRotation="0" wrapText="false" indent="0" shrinkToFit="false"/>
      <protection locked="true" hidden="false"/>
    </xf>
    <xf numFmtId="173" fontId="31" fillId="4" borderId="0" xfId="0" applyFont="true" applyBorder="false" applyAlignment="true" applyProtection="false">
      <alignment horizontal="right" vertical="bottom" textRotation="0" wrapText="false" indent="0" shrinkToFit="false"/>
      <protection locked="true" hidden="false"/>
    </xf>
    <xf numFmtId="165" fontId="24" fillId="4" borderId="0" xfId="0" applyFont="true" applyBorder="false" applyAlignment="true" applyProtection="false">
      <alignment horizontal="righ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51" fillId="0" borderId="0" xfId="0" applyFont="true" applyBorder="tru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left" vertical="bottom" textRotation="0" wrapText="false" indent="1" shrinkToFit="false"/>
      <protection locked="true" hidden="false"/>
    </xf>
    <xf numFmtId="164" fontId="25" fillId="0" borderId="0" xfId="0" applyFont="true" applyBorder="false" applyAlignment="true" applyProtection="false">
      <alignment horizontal="left" vertical="bottom" textRotation="0" wrapText="false" indent="1" shrinkToFit="false"/>
      <protection locked="true" hidden="false"/>
    </xf>
    <xf numFmtId="164" fontId="31" fillId="0" borderId="0" xfId="0" applyFont="true" applyBorder="false" applyAlignment="true" applyProtection="false">
      <alignment horizontal="left" vertical="bottom" textRotation="0" wrapText="false" indent="1" shrinkToFit="false"/>
      <protection locked="true" hidden="false"/>
    </xf>
    <xf numFmtId="165" fontId="54" fillId="0" borderId="0" xfId="0" applyFont="true" applyBorder="false" applyAlignment="true" applyProtection="false">
      <alignment horizontal="right" vertical="bottom" textRotation="0" wrapText="false" indent="0" shrinkToFit="false"/>
      <protection locked="true" hidden="false"/>
    </xf>
    <xf numFmtId="164" fontId="65" fillId="0" borderId="0" xfId="0" applyFont="true" applyBorder="false" applyAlignment="true" applyProtection="false">
      <alignment horizontal="left" vertical="bottom" textRotation="0" wrapText="false" indent="1" shrinkToFit="false"/>
      <protection locked="true" hidden="false"/>
    </xf>
    <xf numFmtId="165" fontId="24" fillId="0" borderId="0" xfId="0" applyFont="true" applyBorder="false" applyAlignment="true" applyProtection="false">
      <alignment horizontal="right" vertical="bottom" textRotation="0" wrapText="false" indent="0" shrinkToFit="false"/>
      <protection locked="true" hidden="false"/>
    </xf>
    <xf numFmtId="165" fontId="31" fillId="0" borderId="0" xfId="0" applyFont="true" applyBorder="false" applyAlignment="true" applyProtection="false">
      <alignment horizontal="right" vertical="bottom" textRotation="0" wrapText="false" indent="0" shrinkToFit="false"/>
      <protection locked="true" hidden="false"/>
    </xf>
    <xf numFmtId="164" fontId="58" fillId="0" borderId="0" xfId="0" applyFont="true" applyBorder="false" applyAlignment="true" applyProtection="false">
      <alignment horizontal="left" vertical="bottom" textRotation="0" wrapText="false" indent="1" shrinkToFit="false"/>
      <protection locked="true" hidden="false"/>
    </xf>
    <xf numFmtId="165" fontId="46" fillId="0" borderId="0" xfId="0" applyFont="true" applyBorder="false" applyAlignment="true" applyProtection="false">
      <alignment horizontal="right" vertical="bottom" textRotation="0" wrapText="false" indent="0" shrinkToFit="false"/>
      <protection locked="true" hidden="false"/>
    </xf>
    <xf numFmtId="164" fontId="24" fillId="4" borderId="0" xfId="0" applyFont="true" applyBorder="false" applyAlignment="true" applyProtection="false">
      <alignment horizontal="right" vertical="bottom" textRotation="0" wrapText="false" indent="0" shrinkToFit="false"/>
      <protection locked="true" hidden="false"/>
    </xf>
    <xf numFmtId="165" fontId="58" fillId="4" borderId="0" xfId="0" applyFont="true" applyBorder="false" applyAlignment="true" applyProtection="false">
      <alignment horizontal="right" vertical="bottom" textRotation="0" wrapText="false" indent="0" shrinkToFit="false"/>
      <protection locked="true" hidden="false"/>
    </xf>
    <xf numFmtId="164" fontId="66" fillId="4" borderId="0" xfId="0" applyFont="true" applyBorder="false" applyAlignment="true" applyProtection="false">
      <alignment horizontal="left" vertical="bottom" textRotation="0" wrapText="false" indent="1" shrinkToFit="false"/>
      <protection locked="true" hidden="false"/>
    </xf>
    <xf numFmtId="165" fontId="67" fillId="10" borderId="3" xfId="0" applyFont="true" applyBorder="true" applyAlignment="true" applyProtection="false">
      <alignment horizontal="right" vertical="bottom" textRotation="0" wrapText="false" indent="0" shrinkToFit="false"/>
      <protection locked="true" hidden="false"/>
    </xf>
    <xf numFmtId="171" fontId="24" fillId="4" borderId="0" xfId="0" applyFont="true" applyBorder="false" applyAlignment="true" applyProtection="false">
      <alignment horizontal="right" vertical="bottom" textRotation="0" wrapText="false" indent="0" shrinkToFit="false"/>
      <protection locked="true" hidden="false"/>
    </xf>
    <xf numFmtId="174" fontId="24" fillId="4" borderId="0" xfId="0" applyFont="true" applyBorder="false" applyAlignment="true" applyProtection="false">
      <alignment horizontal="right" vertical="bottom" textRotation="0" wrapText="false" indent="0" shrinkToFit="false"/>
      <protection locked="true" hidden="false"/>
    </xf>
    <xf numFmtId="164" fontId="68" fillId="4" borderId="0" xfId="0" applyFont="true" applyBorder="false" applyAlignment="true" applyProtection="false">
      <alignment horizontal="left" vertical="bottom" textRotation="0" wrapText="false" indent="1" shrinkToFit="false"/>
      <protection locked="true" hidden="false"/>
    </xf>
    <xf numFmtId="166" fontId="45" fillId="3" borderId="0" xfId="0" applyFont="true" applyBorder="false" applyAlignment="true" applyProtection="false">
      <alignment horizontal="right" vertical="bottom" textRotation="0" wrapText="false" indent="0" shrinkToFit="false"/>
      <protection locked="true" hidden="false"/>
    </xf>
    <xf numFmtId="164" fontId="27" fillId="5" borderId="0" xfId="0" applyFont="true" applyBorder="false" applyAlignment="true" applyProtection="false">
      <alignment horizontal="left" vertical="bottom" textRotation="0" wrapText="false" indent="1" shrinkToFit="false"/>
      <protection locked="true" hidden="false"/>
    </xf>
    <xf numFmtId="164" fontId="27" fillId="5" borderId="0" xfId="0" applyFont="true" applyBorder="false" applyAlignment="true" applyProtection="false">
      <alignment horizontal="center" vertical="bottom" textRotation="0" wrapText="false" indent="0" shrinkToFit="false"/>
      <protection locked="true" hidden="false"/>
    </xf>
    <xf numFmtId="175" fontId="49" fillId="9" borderId="0" xfId="0" applyFont="true" applyBorder="false" applyAlignment="true" applyProtection="false">
      <alignment horizontal="center" vertical="bottom" textRotation="0" wrapText="false" indent="0" shrinkToFit="false"/>
      <protection locked="true" hidden="false"/>
    </xf>
    <xf numFmtId="175" fontId="24" fillId="4" borderId="0" xfId="0" applyFont="true" applyBorder="false" applyAlignment="true" applyProtection="false">
      <alignment horizontal="center" vertical="bottom" textRotation="0" wrapText="false" indent="0" shrinkToFit="false"/>
      <protection locked="true" hidden="false"/>
    </xf>
    <xf numFmtId="164" fontId="69" fillId="4" borderId="0" xfId="0" applyFont="true" applyBorder="false" applyAlignment="true" applyProtection="false">
      <alignment horizontal="left" vertical="bottom" textRotation="0" wrapText="false" indent="1" shrinkToFit="false"/>
      <protection locked="true" hidden="false"/>
    </xf>
    <xf numFmtId="175" fontId="70" fillId="10" borderId="0" xfId="0" applyFont="true" applyBorder="false" applyAlignment="true" applyProtection="false">
      <alignment horizontal="center" vertical="bottom" textRotation="0" wrapText="false" indent="0" shrinkToFit="false"/>
      <protection locked="true" hidden="false"/>
    </xf>
    <xf numFmtId="166" fontId="54" fillId="4" borderId="0" xfId="0" applyFont="true" applyBorder="false" applyAlignment="true" applyProtection="false">
      <alignment horizontal="right" vertical="bottom" textRotation="0" wrapText="false" indent="0" shrinkToFit="false"/>
      <protection locked="true" hidden="false"/>
    </xf>
    <xf numFmtId="164" fontId="31" fillId="4" borderId="0" xfId="0" applyFont="true" applyBorder="false" applyAlignment="true" applyProtection="false">
      <alignment horizontal="center" vertical="bottom" textRotation="0" wrapText="false" indent="0" shrinkToFit="false"/>
      <protection locked="true" hidden="false"/>
    </xf>
    <xf numFmtId="175" fontId="54" fillId="4" borderId="0" xfId="0" applyFont="true" applyBorder="false" applyAlignment="true" applyProtection="false">
      <alignment horizontal="right" vertical="bottom" textRotation="0" wrapText="false" indent="0" shrinkToFit="false"/>
      <protection locked="true" hidden="false"/>
    </xf>
    <xf numFmtId="165" fontId="58" fillId="10" borderId="0" xfId="0" applyFont="true" applyBorder="false" applyAlignment="true" applyProtection="false">
      <alignment horizontal="right" vertical="bottom" textRotation="0" wrapText="false" indent="0" shrinkToFit="false"/>
      <protection locked="true" hidden="false"/>
    </xf>
    <xf numFmtId="166" fontId="9" fillId="3" borderId="0" xfId="0" applyFont="true" applyBorder="false" applyAlignment="true" applyProtection="false">
      <alignment horizontal="right" vertical="bottom" textRotation="0" wrapText="false" indent="0" shrinkToFit="false"/>
      <protection locked="true" hidden="false"/>
    </xf>
    <xf numFmtId="166" fontId="50" fillId="4" borderId="0" xfId="0" applyFont="true" applyBorder="false" applyAlignment="true" applyProtection="false">
      <alignment horizontal="center" vertical="bottom" textRotation="0" wrapText="false" indent="0" shrinkToFit="false"/>
      <protection locked="true" hidden="false"/>
    </xf>
    <xf numFmtId="166" fontId="9" fillId="3" borderId="0" xfId="0" applyFont="true" applyBorder="false" applyAlignment="true" applyProtection="false">
      <alignment horizontal="center" vertical="bottom" textRotation="0" wrapText="false" indent="0" shrinkToFit="false"/>
      <protection locked="true" hidden="false"/>
    </xf>
    <xf numFmtId="164" fontId="35" fillId="4" borderId="0" xfId="0" applyFont="true" applyBorder="false" applyAlignment="false" applyProtection="false">
      <alignment horizontal="general" vertical="bottom" textRotation="0" wrapText="false" indent="0" shrinkToFit="false"/>
      <protection locked="true" hidden="false"/>
    </xf>
    <xf numFmtId="166" fontId="36" fillId="4" borderId="0" xfId="0" applyFont="true" applyBorder="false" applyAlignment="true" applyProtection="false">
      <alignment horizontal="right" vertical="bottom" textRotation="0" wrapText="false" indent="0" shrinkToFit="false"/>
      <protection locked="true" hidden="false"/>
    </xf>
    <xf numFmtId="166" fontId="71" fillId="4" borderId="0" xfId="0" applyFont="true" applyBorder="false" applyAlignment="true" applyProtection="false">
      <alignment horizontal="right" vertical="bottom" textRotation="0" wrapText="false" indent="0" shrinkToFit="false"/>
      <protection locked="true" hidden="false"/>
    </xf>
    <xf numFmtId="164" fontId="72" fillId="4" borderId="0" xfId="0" applyFont="true" applyBorder="false" applyAlignment="true" applyProtection="false">
      <alignment horizontal="left" vertical="bottom" textRotation="0" wrapText="false" indent="1" shrinkToFit="false"/>
      <protection locked="true" hidden="false"/>
    </xf>
    <xf numFmtId="164" fontId="73" fillId="4" borderId="0" xfId="0" applyFont="true" applyBorder="false" applyAlignment="true" applyProtection="false">
      <alignment horizontal="left" vertical="bottom" textRotation="0" wrapText="false" indent="1" shrinkToFit="false"/>
      <protection locked="true" hidden="false"/>
    </xf>
    <xf numFmtId="167" fontId="48" fillId="5" borderId="0" xfId="0" applyFont="true" applyBorder="false" applyAlignment="true" applyProtection="false">
      <alignment horizontal="center" vertical="bottom" textRotation="0" wrapText="false" indent="0" shrinkToFit="false"/>
      <protection locked="true" hidden="false"/>
    </xf>
    <xf numFmtId="166" fontId="17" fillId="11" borderId="0" xfId="0" applyFont="true" applyBorder="false" applyAlignment="true" applyProtection="false">
      <alignment horizontal="right" vertical="bottom" textRotation="0" wrapText="false" indent="0" shrinkToFit="false"/>
      <protection locked="true" hidden="false"/>
    </xf>
    <xf numFmtId="166" fontId="17" fillId="4" borderId="0" xfId="0" applyFont="true" applyBorder="false" applyAlignment="true" applyProtection="false">
      <alignment horizontal="right" vertical="bottom" textRotation="0" wrapText="false" indent="0" shrinkToFit="false"/>
      <protection locked="true" hidden="false"/>
    </xf>
    <xf numFmtId="166" fontId="74" fillId="3" borderId="0" xfId="0" applyFont="true" applyBorder="false" applyAlignment="true" applyProtection="false">
      <alignment horizontal="right" vertical="bottom" textRotation="0" wrapText="false" indent="0" shrinkToFit="false"/>
      <protection locked="true" hidden="false"/>
    </xf>
    <xf numFmtId="164" fontId="72" fillId="11" borderId="1" xfId="0" applyFont="true" applyBorder="true" applyAlignment="true" applyProtection="false">
      <alignment horizontal="left" vertical="bottom" textRotation="0" wrapText="false" indent="1"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75" fillId="4" borderId="0" xfId="0" applyFont="true" applyBorder="false" applyAlignment="true" applyProtection="false">
      <alignment horizontal="left" vertical="bottom" textRotation="0" wrapText="false" indent="1" shrinkToFit="false"/>
      <protection locked="true" hidden="false"/>
    </xf>
    <xf numFmtId="164" fontId="39" fillId="4" borderId="0" xfId="0" applyFont="true" applyBorder="false" applyAlignment="true" applyProtection="false">
      <alignment horizontal="center" vertical="bottom" textRotation="0" wrapText="false" indent="0" shrinkToFit="false"/>
      <protection locked="true" hidden="false"/>
    </xf>
    <xf numFmtId="176" fontId="76" fillId="9" borderId="0" xfId="0" applyFont="true" applyBorder="false" applyAlignment="true" applyProtection="false">
      <alignment horizontal="right" vertical="bottom" textRotation="0" wrapText="false" indent="0" shrinkToFit="false"/>
      <protection locked="true" hidden="false"/>
    </xf>
    <xf numFmtId="174" fontId="50" fillId="10" borderId="0" xfId="0" applyFont="true" applyBorder="false" applyAlignment="true" applyProtection="false">
      <alignment horizontal="right" vertical="bottom" textRotation="0" wrapText="false" indent="0" shrinkToFit="false"/>
      <protection locked="true" hidden="false"/>
    </xf>
    <xf numFmtId="176" fontId="31" fillId="4" borderId="0" xfId="0" applyFont="true" applyBorder="false" applyAlignment="true" applyProtection="false">
      <alignment horizontal="right" vertical="bottom" textRotation="0" wrapText="false" indent="0" shrinkToFit="false"/>
      <protection locked="true" hidden="false"/>
    </xf>
    <xf numFmtId="174" fontId="31" fillId="4" borderId="0" xfId="0" applyFont="true" applyBorder="false" applyAlignment="true" applyProtection="false">
      <alignment horizontal="right" vertical="bottom" textRotation="0" wrapText="false" indent="0" shrinkToFit="false"/>
      <protection locked="true" hidden="false"/>
    </xf>
    <xf numFmtId="177" fontId="31" fillId="4" borderId="0" xfId="0" applyFont="true" applyBorder="false" applyAlignment="true" applyProtection="false">
      <alignment horizontal="right" vertical="bottom" textRotation="0" wrapText="false" indent="0" shrinkToFit="false"/>
      <protection locked="true" hidden="false"/>
    </xf>
    <xf numFmtId="171" fontId="31" fillId="4" borderId="0" xfId="0" applyFont="true" applyBorder="false" applyAlignment="true" applyProtection="false">
      <alignment horizontal="right" vertical="bottom" textRotation="0" wrapText="false" indent="0" shrinkToFit="false"/>
      <protection locked="true" hidden="false"/>
    </xf>
    <xf numFmtId="168" fontId="24" fillId="4" borderId="0" xfId="0" applyFont="true" applyBorder="false" applyAlignment="true" applyProtection="false">
      <alignment horizontal="right" vertical="bottom" textRotation="0" wrapText="false" indent="0" shrinkToFit="false"/>
      <protection locked="true" hidden="false"/>
    </xf>
    <xf numFmtId="164" fontId="77" fillId="4" borderId="0" xfId="0" applyFont="true" applyBorder="false" applyAlignment="true" applyProtection="false">
      <alignment horizontal="left" vertical="bottom" textRotation="0" wrapText="false" indent="1" shrinkToFit="false"/>
      <protection locked="true" hidden="false"/>
    </xf>
    <xf numFmtId="164" fontId="16" fillId="4" borderId="0" xfId="0" applyFont="true" applyBorder="false" applyAlignment="true" applyProtection="false">
      <alignment horizontal="left" vertical="bottom" textRotation="0" wrapText="false" indent="1" shrinkToFit="false"/>
      <protection locked="true" hidden="false"/>
    </xf>
    <xf numFmtId="168" fontId="16" fillId="4" borderId="0" xfId="0" applyFont="true" applyBorder="false" applyAlignment="true" applyProtection="false">
      <alignment horizontal="right" vertical="bottom" textRotation="0" wrapText="false" indent="0" shrinkToFit="false"/>
      <protection locked="true" hidden="false"/>
    </xf>
    <xf numFmtId="167" fontId="16" fillId="4" borderId="0" xfId="0" applyFont="true" applyBorder="false" applyAlignment="true" applyProtection="false">
      <alignment horizontal="right" vertical="bottom" textRotation="0" wrapText="false" indent="0" shrinkToFit="false"/>
      <protection locked="true" hidden="false"/>
    </xf>
    <xf numFmtId="164" fontId="38" fillId="5" borderId="0" xfId="0" applyFont="true" applyBorder="false" applyAlignment="true" applyProtection="false">
      <alignment horizontal="center" vertical="bottom" textRotation="0" wrapText="true" indent="0" shrinkToFit="false"/>
      <protection locked="true" hidden="false"/>
    </xf>
    <xf numFmtId="164" fontId="39" fillId="4" borderId="0" xfId="0" applyFont="true" applyBorder="false" applyAlignment="true" applyProtection="false">
      <alignment horizontal="left" vertical="bottom" textRotation="0" wrapText="false" indent="1" shrinkToFit="false"/>
      <protection locked="true" hidden="false"/>
    </xf>
    <xf numFmtId="168" fontId="78" fillId="10" borderId="0" xfId="0" applyFont="true" applyBorder="false" applyAlignment="true" applyProtection="false">
      <alignment horizontal="center" vertical="bottom" textRotation="0" wrapText="false" indent="0" shrinkToFit="false"/>
      <protection locked="true" hidden="false"/>
    </xf>
    <xf numFmtId="168" fontId="39" fillId="4" borderId="0" xfId="0" applyFont="true" applyBorder="false" applyAlignment="true" applyProtection="false">
      <alignment horizontal="center" vertical="bottom" textRotation="0" wrapText="false" indent="0" shrinkToFit="false"/>
      <protection locked="true" hidden="false"/>
    </xf>
    <xf numFmtId="164" fontId="79" fillId="3" borderId="0" xfId="0" applyFont="true" applyBorder="true" applyAlignment="true" applyProtection="false">
      <alignment horizontal="center" vertical="bottom" textRotation="0" wrapText="false" indent="0" shrinkToFit="false"/>
      <protection locked="true" hidden="false"/>
    </xf>
    <xf numFmtId="164" fontId="80" fillId="4" borderId="2" xfId="0" applyFont="true" applyBorder="true" applyAlignment="true" applyProtection="false">
      <alignment horizontal="center" vertical="bottom" textRotation="0" wrapText="false" indent="0" shrinkToFit="false"/>
      <protection locked="true" hidden="false"/>
    </xf>
    <xf numFmtId="164" fontId="46" fillId="4" borderId="0" xfId="0" applyFont="true" applyBorder="false" applyAlignment="true" applyProtection="false">
      <alignment horizontal="general" vertical="center" textRotation="0" wrapText="true" indent="0" shrinkToFit="false"/>
      <protection locked="true" hidden="false"/>
    </xf>
    <xf numFmtId="164" fontId="81" fillId="4" borderId="2"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Georgia"/>
        <charset val="1"/>
        <family val="0"/>
        <b val="1"/>
        <color rgb="FF1F3D2B"/>
        <sz val="13"/>
      </font>
    </dxf>
    <dxf>
      <font>
        <name val="Georgia"/>
        <charset val="1"/>
        <family val="0"/>
        <b val="1"/>
        <color rgb="FF6E1E1E"/>
        <sz val="13"/>
      </font>
    </dxf>
  </dxfs>
  <colors>
    <indexedColors>
      <rgbColor rgb="FF000000"/>
      <rgbColor rgb="FFFFFFFF"/>
      <rgbColor rgb="FFFF0000"/>
      <rgbColor rgb="FF00FF00"/>
      <rgbColor rgb="FF0000FF"/>
      <rgbColor rgb="FFFFFF00"/>
      <rgbColor rgb="FFFF00FF"/>
      <rgbColor rgb="FF00FFFF"/>
      <rgbColor rgb="FF6E1E1E"/>
      <rgbColor rgb="FF008000"/>
      <rgbColor rgb="FF000080"/>
      <rgbColor rgb="FFB8860B"/>
      <rgbColor rgb="FF800080"/>
      <rgbColor rgb="FF008080"/>
      <rgbColor rgb="FFC0C0C0"/>
      <rgbColor rgb="FF878787"/>
      <rgbColor rgb="FF9999FF"/>
      <rgbColor rgb="FFC0504D"/>
      <rgbColor rgb="FFFFFDF3"/>
      <rgbColor rgb="FFFAF6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F1E9D8"/>
      <rgbColor rgb="FFFFFF99"/>
      <rgbColor rgb="FF99CCFF"/>
      <rgbColor rgb="FFFF99CC"/>
      <rgbColor rgb="FFCC99FF"/>
      <rgbColor rgb="FFFFCC99"/>
      <rgbColor rgb="FF4F81BD"/>
      <rgbColor rgb="FF33CCCC"/>
      <rgbColor rgb="FF9BBB59"/>
      <rgbColor rgb="FFD9B84A"/>
      <rgbColor rgb="FFFF9900"/>
      <rgbColor rgb="FFFF6600"/>
      <rgbColor rgb="FF7A7264"/>
      <rgbColor rgb="FF969696"/>
      <rgbColor rgb="FF1B2A4A"/>
      <rgbColor rgb="FF2E6F40"/>
      <rgbColor rgb="FF122B1D"/>
      <rgbColor rgb="FF1F3D2B"/>
      <rgbColor rgb="FF993300"/>
      <rgbColor rgb="FF993366"/>
      <rgbColor rgb="FF1F4E8C"/>
      <rgbColor rgb="FF2B2B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&amp; EBITDA, FY2021A–FY2030E ($000s)</a:t>
            </a:r>
          </a:p>
        </c:rich>
      </c:tx>
      <c:overlay val="0"/>
      <c:spPr>
        <a:noFill/>
        <a:ln w="0">
          <a:noFill/>
        </a:ln>
      </c:spPr>
    </c:title>
    <c:autoTitleDeleted val="0"/>
    <c:plotArea>
      <c:barChart>
        <c:barDir val="col"/>
        <c:grouping val="clustered"/>
        <c:varyColors val="0"/>
        <c:ser>
          <c:idx val="0"/>
          <c:order val="0"/>
          <c:spPr>
            <a:solidFill>
              <a:srgbClr val="1f3d2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Dashboard!$C$40:$L$40</c:f>
              <c:strCache>
                <c:ptCount val="10"/>
                <c:pt idx="0">
                  <c:v>2021</c:v>
                </c:pt>
                <c:pt idx="1">
                  <c:v>2022</c:v>
                </c:pt>
                <c:pt idx="2">
                  <c:v>2023</c:v>
                </c:pt>
                <c:pt idx="3">
                  <c:v>2024</c:v>
                </c:pt>
                <c:pt idx="4">
                  <c:v>2025</c:v>
                </c:pt>
                <c:pt idx="5">
                  <c:v>2026</c:v>
                </c:pt>
                <c:pt idx="6">
                  <c:v>2027</c:v>
                </c:pt>
                <c:pt idx="7">
                  <c:v>2028</c:v>
                </c:pt>
                <c:pt idx="8">
                  <c:v>2029</c:v>
                </c:pt>
                <c:pt idx="9">
                  <c:v>2030</c:v>
                </c:pt>
              </c:strCache>
            </c:strRef>
          </c:cat>
          <c:val>
            <c:numRef>
              <c:f>Dashboard!$C$41:$L$41</c:f>
              <c:numCache>
                <c:formatCode>\$#,##0;"($"#,##0\);\-</c:formatCode>
                <c:ptCount val="10"/>
                <c:pt idx="0">
                  <c:v>269300.04</c:v>
                </c:pt>
                <c:pt idx="1">
                  <c:v>289614.82</c:v>
                </c:pt>
                <c:pt idx="2">
                  <c:v>317950.41</c:v>
                </c:pt>
                <c:pt idx="3">
                  <c:v>344406.1</c:v>
                </c:pt>
                <c:pt idx="4">
                  <c:v>374889.2</c:v>
                </c:pt>
                <c:pt idx="5">
                  <c:v>398117.300826</c:v>
                </c:pt>
                <c:pt idx="6">
                  <c:v>421513.739160376</c:v>
                </c:pt>
                <c:pt idx="7">
                  <c:v>444882.389058064</c:v>
                </c:pt>
                <c:pt idx="8">
                  <c:v>468182.387982329</c:v>
                </c:pt>
                <c:pt idx="9">
                  <c:v>491199.410111353</c:v>
                </c:pt>
              </c:numCache>
            </c:numRef>
          </c:val>
        </c:ser>
        <c:gapWidth val="150"/>
        <c:overlap val="0"/>
        <c:axId val="46170330"/>
        <c:axId val="80194664"/>
      </c:barChart>
      <c:lineChart>
        <c:grouping val="standard"/>
        <c:varyColors val="0"/>
        <c:ser>
          <c:idx val="1"/>
          <c:order val="1"/>
          <c:spPr>
            <a:solidFill>
              <a:srgbClr val="b8860b"/>
            </a:solidFill>
            <a:ln w="24840">
              <a:solidFill>
                <a:srgbClr val="b8860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Dashboard!$C$40:$L$40</c:f>
              <c:strCache>
                <c:ptCount val="10"/>
                <c:pt idx="0">
                  <c:v>2021</c:v>
                </c:pt>
                <c:pt idx="1">
                  <c:v>2022</c:v>
                </c:pt>
                <c:pt idx="2">
                  <c:v>2023</c:v>
                </c:pt>
                <c:pt idx="3">
                  <c:v>2024</c:v>
                </c:pt>
                <c:pt idx="4">
                  <c:v>2025</c:v>
                </c:pt>
                <c:pt idx="5">
                  <c:v>2026</c:v>
                </c:pt>
                <c:pt idx="6">
                  <c:v>2027</c:v>
                </c:pt>
                <c:pt idx="7">
                  <c:v>2028</c:v>
                </c:pt>
                <c:pt idx="8">
                  <c:v>2029</c:v>
                </c:pt>
                <c:pt idx="9">
                  <c:v>2030</c:v>
                </c:pt>
              </c:strCache>
            </c:strRef>
          </c:cat>
          <c:val>
            <c:numRef>
              <c:f>Dashboard!$C$44:$L$44</c:f>
              <c:numCache>
                <c:formatCode>\$#,##0;"($"#,##0\);\-</c:formatCode>
                <c:ptCount val="10"/>
                <c:pt idx="0">
                  <c:v>59246.0088</c:v>
                </c:pt>
                <c:pt idx="1">
                  <c:v>66611.4086</c:v>
                </c:pt>
                <c:pt idx="2">
                  <c:v>76308.0984</c:v>
                </c:pt>
                <c:pt idx="3">
                  <c:v>86101.525</c:v>
                </c:pt>
                <c:pt idx="4">
                  <c:v>97471.192</c:v>
                </c:pt>
                <c:pt idx="5">
                  <c:v>105899.202019716</c:v>
                </c:pt>
                <c:pt idx="6">
                  <c:v>114651.737051622</c:v>
                </c:pt>
                <c:pt idx="7">
                  <c:v>123677.304158142</c:v>
                </c:pt>
                <c:pt idx="8">
                  <c:v>132027.433411017</c:v>
                </c:pt>
                <c:pt idx="9">
                  <c:v>140483.031291847</c:v>
                </c:pt>
              </c:numCache>
            </c:numRef>
          </c:val>
          <c:smooth val="0"/>
        </c:ser>
        <c:hiLowLines>
          <c:spPr>
            <a:ln w="0">
              <a:noFill/>
            </a:ln>
          </c:spPr>
        </c:hiLowLines>
        <c:marker val="0"/>
        <c:axId val="46170330"/>
        <c:axId val="80194664"/>
      </c:lineChart>
      <c:catAx>
        <c:axId val="4617033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194664"/>
        <c:crosses val="autoZero"/>
        <c:auto val="1"/>
        <c:lblAlgn val="ctr"/>
        <c:lblOffset val="100"/>
        <c:noMultiLvlLbl val="0"/>
      </c:catAx>
      <c:valAx>
        <c:axId val="8019466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$000s</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1703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Mix by Segment, FY2030E</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Dashboard!$B$51:$B$53</c:f>
              <c:strCache>
                <c:ptCount val="3"/>
                <c:pt idx="0">
                  <c:v>Heritage Textiles</c:v>
                </c:pt>
                <c:pt idx="1">
                  <c:v>Private Wealth Advisory</c:v>
                </c:pt>
                <c:pt idx="2">
                  <c:v>Fine Estates</c:v>
                </c:pt>
              </c:strCache>
            </c:strRef>
          </c:cat>
          <c:val>
            <c:numRef>
              <c:f>Dashboard!$C$51:$C$53</c:f>
              <c:numCache>
                <c:formatCode>\$#,##0;"($"#,##0\);\-</c:formatCode>
                <c:ptCount val="3"/>
                <c:pt idx="0">
                  <c:v>177056.456311635</c:v>
                </c:pt>
                <c:pt idx="1">
                  <c:v>216475.033251116</c:v>
                </c:pt>
                <c:pt idx="2">
                  <c:v>97667.920548603</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Margin Trend, FY2021A–FY2030E</a:t>
            </a:r>
          </a:p>
        </c:rich>
      </c:tx>
      <c:overlay val="0"/>
      <c:spPr>
        <a:noFill/>
        <a:ln w="0">
          <a:noFill/>
        </a:ln>
      </c:spPr>
    </c:title>
    <c:autoTitleDeleted val="0"/>
    <c:plotArea>
      <c:lineChart>
        <c:grouping val="standard"/>
        <c:varyColors val="0"/>
        <c:ser>
          <c:idx val="0"/>
          <c:order val="0"/>
          <c:spPr>
            <a:solidFill>
              <a:srgbClr val="b8860b"/>
            </a:solidFill>
            <a:ln w="24840">
              <a:solidFill>
                <a:srgbClr val="b8860b"/>
              </a:solidFill>
              <a:round/>
            </a:ln>
          </c:spPr>
          <c:marker>
            <c:symbol val="circle"/>
            <c:size val="5"/>
            <c:spPr>
              <a:solidFill>
                <a:srgbClr val="b8860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Dashboard!$C$40:$L$40</c:f>
              <c:strCache>
                <c:ptCount val="10"/>
                <c:pt idx="0">
                  <c:v>2021</c:v>
                </c:pt>
                <c:pt idx="1">
                  <c:v>2022</c:v>
                </c:pt>
                <c:pt idx="2">
                  <c:v>2023</c:v>
                </c:pt>
                <c:pt idx="3">
                  <c:v>2024</c:v>
                </c:pt>
                <c:pt idx="4">
                  <c:v>2025</c:v>
                </c:pt>
                <c:pt idx="5">
                  <c:v>2026</c:v>
                </c:pt>
                <c:pt idx="6">
                  <c:v>2027</c:v>
                </c:pt>
                <c:pt idx="7">
                  <c:v>2028</c:v>
                </c:pt>
                <c:pt idx="8">
                  <c:v>2029</c:v>
                </c:pt>
                <c:pt idx="9">
                  <c:v>2030</c:v>
                </c:pt>
              </c:strCache>
            </c:strRef>
          </c:cat>
          <c:val>
            <c:numRef>
              <c:f>Dashboard!$C$45:$L$45</c:f>
              <c:numCache>
                <c:formatCode>0.0%;\(0.0%\);\-</c:formatCode>
                <c:ptCount val="10"/>
                <c:pt idx="0">
                  <c:v>0.22</c:v>
                </c:pt>
                <c:pt idx="1">
                  <c:v>0.23</c:v>
                </c:pt>
                <c:pt idx="2">
                  <c:v>0.24</c:v>
                </c:pt>
                <c:pt idx="3">
                  <c:v>0.25</c:v>
                </c:pt>
                <c:pt idx="4">
                  <c:v>0.26</c:v>
                </c:pt>
                <c:pt idx="5">
                  <c:v>0.266</c:v>
                </c:pt>
                <c:pt idx="6">
                  <c:v>0.272</c:v>
                </c:pt>
                <c:pt idx="7">
                  <c:v>0.278</c:v>
                </c:pt>
                <c:pt idx="8">
                  <c:v>0.282</c:v>
                </c:pt>
                <c:pt idx="9">
                  <c:v>0.286</c:v>
                </c:pt>
              </c:numCache>
            </c:numRef>
          </c:val>
          <c:smooth val="1"/>
        </c:ser>
        <c:hiLowLines>
          <c:spPr>
            <a:ln w="0">
              <a:noFill/>
            </a:ln>
          </c:spPr>
        </c:hiLowLines>
        <c:marker val="1"/>
        <c:axId val="69901887"/>
        <c:axId val="12917511"/>
      </c:lineChart>
      <c:catAx>
        <c:axId val="699018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917511"/>
        <c:crosses val="autoZero"/>
        <c:auto val="1"/>
        <c:lblAlgn val="ctr"/>
        <c:lblOffset val="100"/>
        <c:noMultiLvlLbl val="0"/>
      </c:catAx>
      <c:valAx>
        <c:axId val="1291751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9018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Income Trend, FY2021A–FY2030E ($000s)</a:t>
            </a:r>
          </a:p>
        </c:rich>
      </c:tx>
      <c:overlay val="0"/>
      <c:spPr>
        <a:noFill/>
        <a:ln w="0">
          <a:noFill/>
        </a:ln>
      </c:spPr>
    </c:title>
    <c:autoTitleDeleted val="0"/>
    <c:plotArea>
      <c:barChart>
        <c:barDir val="col"/>
        <c:grouping val="clustered"/>
        <c:varyColors val="0"/>
        <c:ser>
          <c:idx val="0"/>
          <c:order val="0"/>
          <c:spPr>
            <a:solidFill>
              <a:srgbClr val="1b2a4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Dashboard!$C$40:$L$40</c:f>
              <c:strCache>
                <c:ptCount val="10"/>
                <c:pt idx="0">
                  <c:v>2021</c:v>
                </c:pt>
                <c:pt idx="1">
                  <c:v>2022</c:v>
                </c:pt>
                <c:pt idx="2">
                  <c:v>2023</c:v>
                </c:pt>
                <c:pt idx="3">
                  <c:v>2024</c:v>
                </c:pt>
                <c:pt idx="4">
                  <c:v>2025</c:v>
                </c:pt>
                <c:pt idx="5">
                  <c:v>2026</c:v>
                </c:pt>
                <c:pt idx="6">
                  <c:v>2027</c:v>
                </c:pt>
                <c:pt idx="7">
                  <c:v>2028</c:v>
                </c:pt>
                <c:pt idx="8">
                  <c:v>2029</c:v>
                </c:pt>
                <c:pt idx="9">
                  <c:v>2030</c:v>
                </c:pt>
              </c:strCache>
            </c:strRef>
          </c:cat>
          <c:val>
            <c:numRef>
              <c:f>Dashboard!$C$46:$L$46</c:f>
              <c:numCache>
                <c:formatCode>\$#,##0;"($"#,##0\);\-</c:formatCode>
                <c:ptCount val="10"/>
                <c:pt idx="0">
                  <c:v>33530.515328</c:v>
                </c:pt>
                <c:pt idx="1">
                  <c:v>38752.2408119</c:v>
                </c:pt>
                <c:pt idx="2">
                  <c:v>45389.8572009</c:v>
                </c:pt>
                <c:pt idx="3">
                  <c:v>52543.874475</c:v>
                </c:pt>
                <c:pt idx="4">
                  <c:v>60506.3856</c:v>
                </c:pt>
                <c:pt idx="5">
                  <c:v>66641.5692884349</c:v>
                </c:pt>
                <c:pt idx="6">
                  <c:v>73035.8734166618</c:v>
                </c:pt>
                <c:pt idx="7">
                  <c:v>79966.3796112433</c:v>
                </c:pt>
                <c:pt idx="8">
                  <c:v>86257.5164869094</c:v>
                </c:pt>
                <c:pt idx="9">
                  <c:v>92298.0110245263</c:v>
                </c:pt>
              </c:numCache>
            </c:numRef>
          </c:val>
        </c:ser>
        <c:gapWidth val="150"/>
        <c:overlap val="0"/>
        <c:axId val="17564938"/>
        <c:axId val="27517801"/>
      </c:barChart>
      <c:catAx>
        <c:axId val="175649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17801"/>
        <c:crosses val="autoZero"/>
        <c:auto val="1"/>
        <c:lblAlgn val="ctr"/>
        <c:lblOffset val="100"/>
        <c:noMultiLvlLbl val="0"/>
      </c:catAx>
      <c:valAx>
        <c:axId val="2751780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5649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Cash Flow from Operations, FY2022A–FY2030E ($000s)</a:t>
            </a:r>
          </a:p>
        </c:rich>
      </c:tx>
      <c:overlay val="0"/>
      <c:spPr>
        <a:noFill/>
        <a:ln w="0">
          <a:noFill/>
        </a:ln>
      </c:spPr>
    </c:title>
    <c:autoTitleDeleted val="0"/>
    <c:plotArea>
      <c:barChart>
        <c:barDir val="col"/>
        <c:grouping val="clustered"/>
        <c:varyColors val="0"/>
        <c:ser>
          <c:idx val="0"/>
          <c:order val="0"/>
          <c:spPr>
            <a:solidFill>
              <a:srgbClr val="6e1e1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Dashboard!$D$40:$L$40</c:f>
              <c:strCache>
                <c:ptCount val="9"/>
                <c:pt idx="0">
                  <c:v>2022</c:v>
                </c:pt>
                <c:pt idx="1">
                  <c:v>2023</c:v>
                </c:pt>
                <c:pt idx="2">
                  <c:v>2024</c:v>
                </c:pt>
                <c:pt idx="3">
                  <c:v>2025</c:v>
                </c:pt>
                <c:pt idx="4">
                  <c:v>2026</c:v>
                </c:pt>
                <c:pt idx="5">
                  <c:v>2027</c:v>
                </c:pt>
                <c:pt idx="6">
                  <c:v>2028</c:v>
                </c:pt>
                <c:pt idx="7">
                  <c:v>2029</c:v>
                </c:pt>
                <c:pt idx="8">
                  <c:v>2030</c:v>
                </c:pt>
              </c:strCache>
            </c:strRef>
          </c:cat>
          <c:val>
            <c:numRef>
              <c:f>Dashboard!$D$47:$L$47</c:f>
              <c:numCache>
                <c:formatCode>\$#,##0;"($"#,##0\);\-</c:formatCode>
                <c:ptCount val="9"/>
                <c:pt idx="0">
                  <c:v>47791.0279189</c:v>
                </c:pt>
                <c:pt idx="1">
                  <c:v>54316.3268929</c:v>
                </c:pt>
                <c:pt idx="2">
                  <c:v>62351.713689</c:v>
                </c:pt>
                <c:pt idx="3">
                  <c:v>70621.660655</c:v>
                </c:pt>
                <c:pt idx="4">
                  <c:v>78394.1385222376</c:v>
                </c:pt>
                <c:pt idx="5">
                  <c:v>85194.4572467988</c:v>
                </c:pt>
                <c:pt idx="6">
                  <c:v>92950.1990217927</c:v>
                </c:pt>
                <c:pt idx="7">
                  <c:v>99586.5197424249</c:v>
                </c:pt>
                <c:pt idx="8">
                  <c:v>106444.141858494</c:v>
                </c:pt>
              </c:numCache>
            </c:numRef>
          </c:val>
        </c:ser>
        <c:gapWidth val="150"/>
        <c:overlap val="0"/>
        <c:axId val="98918900"/>
        <c:axId val="67716098"/>
      </c:barChart>
      <c:catAx>
        <c:axId val="989189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716098"/>
        <c:crosses val="autoZero"/>
        <c:auto val="1"/>
        <c:lblAlgn val="ctr"/>
        <c:lblOffset val="100"/>
        <c:noMultiLvlLbl val="0"/>
      </c:catAx>
      <c:valAx>
        <c:axId val="6771609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91890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DCF Valuation Bridge ($000s)</a:t>
            </a:r>
          </a:p>
        </c:rich>
      </c:tx>
      <c:overlay val="0"/>
      <c:spPr>
        <a:noFill/>
        <a:ln w="0">
          <a:noFill/>
        </a:ln>
      </c:spPr>
    </c:title>
    <c:autoTitleDeleted val="0"/>
    <c:plotArea>
      <c:barChart>
        <c:barDir val="col"/>
        <c:grouping val="stacked"/>
        <c:varyColors val="0"/>
        <c:ser>
          <c:idx val="0"/>
          <c:order val="0"/>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Dashboard!$C$55:$G$55</c:f>
              <c:strCache>
                <c:ptCount val="5"/>
                <c:pt idx="0">
                  <c:v>PV of FCF
('26-'30)</c:v>
                </c:pt>
                <c:pt idx="1">
                  <c:v>PV of
Terminal Value</c:v>
                </c:pt>
                <c:pt idx="2">
                  <c:v>Enterprise
Value</c:v>
                </c:pt>
                <c:pt idx="3">
                  <c:v>Net Debt /
(Net Cash)</c:v>
                </c:pt>
                <c:pt idx="4">
                  <c:v>Equity
Value</c:v>
                </c:pt>
              </c:strCache>
            </c:strRef>
          </c:cat>
          <c:val>
            <c:numRef>
              <c:f>Dashboard!$C$56:$G$56</c:f>
              <c:numCache>
                <c:formatCode>\$#,##0;"($"#,##0\);\-</c:formatCode>
                <c:ptCount val="5"/>
                <c:pt idx="0">
                  <c:v>0</c:v>
                </c:pt>
                <c:pt idx="1">
                  <c:v>296178.360956896</c:v>
                </c:pt>
                <c:pt idx="2">
                  <c:v>0</c:v>
                </c:pt>
                <c:pt idx="3">
                  <c:v>1224509.88050049</c:v>
                </c:pt>
                <c:pt idx="4">
                  <c:v>0</c:v>
                </c:pt>
              </c:numCache>
            </c:numRef>
          </c:val>
        </c:ser>
        <c:ser>
          <c:idx val="1"/>
          <c:order val="1"/>
          <c:spPr>
            <a:solidFill>
              <a:srgbClr val="1f3d2b"/>
            </a:solidFill>
            <a:ln w="0">
              <a:noFill/>
            </a:ln>
          </c:spPr>
          <c:invertIfNegative val="0"/>
          <c:dPt>
            <c:idx val="2"/>
            <c:invertIfNegative val="0"/>
            <c:spPr>
              <a:solidFill>
                <a:srgbClr val="b8860b"/>
              </a:solidFill>
              <a:ln w="0">
                <a:noFill/>
              </a:ln>
            </c:spPr>
          </c:dPt>
          <c:dPt>
            <c:idx val="4"/>
            <c:invertIfNegative val="0"/>
            <c:spPr>
              <a:solidFill>
                <a:srgbClr val="b8860b"/>
              </a:solidFill>
              <a:ln w="0">
                <a:noFill/>
              </a:ln>
            </c:spPr>
          </c:dPt>
          <c:dLbls>
            <c:dLbl>
              <c:idx val="2"/>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Dashboard!$C$55:$G$55</c:f>
              <c:strCache>
                <c:ptCount val="5"/>
                <c:pt idx="0">
                  <c:v>PV of FCF
('26-'30)</c:v>
                </c:pt>
                <c:pt idx="1">
                  <c:v>PV of
Terminal Value</c:v>
                </c:pt>
                <c:pt idx="2">
                  <c:v>Enterprise
Value</c:v>
                </c:pt>
                <c:pt idx="3">
                  <c:v>Net Debt /
(Net Cash)</c:v>
                </c:pt>
                <c:pt idx="4">
                  <c:v>Equity
Value</c:v>
                </c:pt>
              </c:strCache>
            </c:strRef>
          </c:cat>
          <c:val>
            <c:numRef>
              <c:f>Dashboard!$C$57:$G$57</c:f>
              <c:numCache>
                <c:formatCode>\$#,##0;"($"#,##0\);\-</c:formatCode>
                <c:ptCount val="5"/>
                <c:pt idx="0">
                  <c:v>296178.360956896</c:v>
                </c:pt>
                <c:pt idx="1">
                  <c:v>761174.486077798</c:v>
                </c:pt>
                <c:pt idx="2">
                  <c:v>1057352.84703469</c:v>
                </c:pt>
                <c:pt idx="3">
                  <c:v>-167157.0334658</c:v>
                </c:pt>
                <c:pt idx="4">
                  <c:v>1224509.88050049</c:v>
                </c:pt>
              </c:numCache>
            </c:numRef>
          </c:val>
        </c:ser>
        <c:gapWidth val="150"/>
        <c:overlap val="100"/>
        <c:axId val="16647477"/>
        <c:axId val="86745908"/>
      </c:barChart>
      <c:catAx>
        <c:axId val="166474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745908"/>
        <c:crosses val="autoZero"/>
        <c:auto val="1"/>
        <c:lblAlgn val="ctr"/>
        <c:lblOffset val="100"/>
        <c:noMultiLvlLbl val="0"/>
      </c:catAx>
      <c:valAx>
        <c:axId val="8674590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6474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Growth (YoY %), FY2022A–FY2030E</a:t>
            </a:r>
          </a:p>
        </c:rich>
      </c:tx>
      <c:overlay val="0"/>
      <c:spPr>
        <a:noFill/>
        <a:ln w="0">
          <a:noFill/>
        </a:ln>
      </c:spPr>
    </c:title>
    <c:autoTitleDeleted val="0"/>
    <c:plotArea>
      <c:lineChart>
        <c:grouping val="standard"/>
        <c:varyColors val="0"/>
        <c:ser>
          <c:idx val="0"/>
          <c:order val="0"/>
          <c:spPr>
            <a:solidFill>
              <a:srgbClr val="1f3d2b"/>
            </a:solidFill>
            <a:ln w="24840">
              <a:solidFill>
                <a:srgbClr val="1f3d2b"/>
              </a:solidFill>
              <a:round/>
            </a:ln>
          </c:spPr>
          <c:marker>
            <c:symbol val="diamond"/>
            <c:size val="5"/>
            <c:spPr>
              <a:solidFill>
                <a:srgbClr val="1f3d2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Dashboard!$D$40:$L$40</c:f>
              <c:strCache>
                <c:ptCount val="9"/>
                <c:pt idx="0">
                  <c:v>2022</c:v>
                </c:pt>
                <c:pt idx="1">
                  <c:v>2023</c:v>
                </c:pt>
                <c:pt idx="2">
                  <c:v>2024</c:v>
                </c:pt>
                <c:pt idx="3">
                  <c:v>2025</c:v>
                </c:pt>
                <c:pt idx="4">
                  <c:v>2026</c:v>
                </c:pt>
                <c:pt idx="5">
                  <c:v>2027</c:v>
                </c:pt>
                <c:pt idx="6">
                  <c:v>2028</c:v>
                </c:pt>
                <c:pt idx="7">
                  <c:v>2029</c:v>
                </c:pt>
                <c:pt idx="8">
                  <c:v>2030</c:v>
                </c:pt>
              </c:strCache>
            </c:strRef>
          </c:cat>
          <c:val>
            <c:numRef>
              <c:f>Dashboard!$D$48:$L$48</c:f>
              <c:numCache>
                <c:formatCode>0.0%;\(0.0%\);\-</c:formatCode>
                <c:ptCount val="9"/>
                <c:pt idx="0">
                  <c:v>0.0754354882383235</c:v>
                </c:pt>
                <c:pt idx="1">
                  <c:v>0.0978388813113915</c:v>
                </c:pt>
                <c:pt idx="2">
                  <c:v>0.0832069692880721</c:v>
                </c:pt>
                <c:pt idx="3">
                  <c:v>0.0885091756504894</c:v>
                </c:pt>
                <c:pt idx="4">
                  <c:v>0.0619599092905314</c:v>
                </c:pt>
                <c:pt idx="5">
                  <c:v>0.0587677005893332</c:v>
                </c:pt>
                <c:pt idx="6">
                  <c:v>0.0554398296583099</c:v>
                </c:pt>
                <c:pt idx="7">
                  <c:v>0.0523733901303609</c:v>
                </c:pt>
                <c:pt idx="8">
                  <c:v>0.0491625117045034</c:v>
                </c:pt>
              </c:numCache>
            </c:numRef>
          </c:val>
          <c:smooth val="1"/>
        </c:ser>
        <c:hiLowLines>
          <c:spPr>
            <a:ln w="0">
              <a:noFill/>
            </a:ln>
          </c:spPr>
        </c:hiLowLines>
        <c:marker val="1"/>
        <c:axId val="32011848"/>
        <c:axId val="14971759"/>
      </c:lineChart>
      <c:catAx>
        <c:axId val="320118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971759"/>
        <c:crosses val="autoZero"/>
        <c:auto val="1"/>
        <c:lblAlgn val="ctr"/>
        <c:lblOffset val="100"/>
        <c:noMultiLvlLbl val="0"/>
      </c:catAx>
      <c:valAx>
        <c:axId val="1497175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01184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Unlevered Free Cash Flow, FY2026E–FY2030E ($000s)</a:t>
            </a:r>
          </a:p>
        </c:rich>
      </c:tx>
      <c:overlay val="0"/>
      <c:spPr>
        <a:noFill/>
        <a:ln w="0">
          <a:noFill/>
        </a:ln>
      </c:spPr>
    </c:title>
    <c:autoTitleDeleted val="0"/>
    <c:plotArea>
      <c:barChart>
        <c:barDir val="col"/>
        <c:grouping val="clustered"/>
        <c:varyColors val="0"/>
        <c:ser>
          <c:idx val="0"/>
          <c:order val="0"/>
          <c:spPr>
            <a:solidFill>
              <a:srgbClr val="b8860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Dashboard!$H$40:$L$40</c:f>
              <c:strCache>
                <c:ptCount val="5"/>
                <c:pt idx="0">
                  <c:v>2026</c:v>
                </c:pt>
                <c:pt idx="1">
                  <c:v>2027</c:v>
                </c:pt>
                <c:pt idx="2">
                  <c:v>2028</c:v>
                </c:pt>
                <c:pt idx="3">
                  <c:v>2029</c:v>
                </c:pt>
                <c:pt idx="4">
                  <c:v>2030</c:v>
                </c:pt>
              </c:strCache>
            </c:strRef>
          </c:cat>
          <c:val>
            <c:numRef>
              <c:f>Dashboard!$H$49:$L$49</c:f>
              <c:numCache>
                <c:formatCode>\$#,##0;"($"#,##0\);\-</c:formatCode>
                <c:ptCount val="5"/>
                <c:pt idx="0">
                  <c:v>66553.4156925016</c:v>
                </c:pt>
                <c:pt idx="1">
                  <c:v>72829.1638761856</c:v>
                </c:pt>
                <c:pt idx="2">
                  <c:v>79573.8154047604</c:v>
                </c:pt>
                <c:pt idx="3">
                  <c:v>85653.8185510256</c:v>
                </c:pt>
                <c:pt idx="4">
                  <c:v>91519.8619147075</c:v>
                </c:pt>
              </c:numCache>
            </c:numRef>
          </c:val>
        </c:ser>
        <c:gapWidth val="150"/>
        <c:overlap val="0"/>
        <c:axId val="55970197"/>
        <c:axId val="60271691"/>
      </c:barChart>
      <c:catAx>
        <c:axId val="559701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271691"/>
        <c:crosses val="autoZero"/>
        <c:auto val="1"/>
        <c:lblAlgn val="ctr"/>
        <c:lblOffset val="100"/>
        <c:noMultiLvlLbl val="0"/>
      </c:catAx>
      <c:valAx>
        <c:axId val="6027169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97019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Historical vs. Forecast ($000s)</a:t>
            </a:r>
          </a:p>
        </c:rich>
      </c:tx>
      <c:overlay val="0"/>
      <c:spPr>
        <a:noFill/>
        <a:ln w="0">
          <a:noFill/>
        </a:ln>
      </c:spPr>
    </c:title>
    <c:autoTitleDeleted val="0"/>
    <c:plotArea>
      <c:barChart>
        <c:barDir val="col"/>
        <c:grouping val="stacked"/>
        <c:varyColors val="0"/>
        <c:ser>
          <c:idx val="0"/>
          <c:order val="0"/>
          <c:spPr>
            <a:solidFill>
              <a:srgbClr val="1f3d2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Dashboard!$C$40:$L$40</c:f>
              <c:strCache>
                <c:ptCount val="10"/>
                <c:pt idx="0">
                  <c:v>2021</c:v>
                </c:pt>
                <c:pt idx="1">
                  <c:v>2022</c:v>
                </c:pt>
                <c:pt idx="2">
                  <c:v>2023</c:v>
                </c:pt>
                <c:pt idx="3">
                  <c:v>2024</c:v>
                </c:pt>
                <c:pt idx="4">
                  <c:v>2025</c:v>
                </c:pt>
                <c:pt idx="5">
                  <c:v>2026</c:v>
                </c:pt>
                <c:pt idx="6">
                  <c:v>2027</c:v>
                </c:pt>
                <c:pt idx="7">
                  <c:v>2028</c:v>
                </c:pt>
                <c:pt idx="8">
                  <c:v>2029</c:v>
                </c:pt>
                <c:pt idx="9">
                  <c:v>2030</c:v>
                </c:pt>
              </c:strCache>
            </c:strRef>
          </c:cat>
          <c:val>
            <c:numRef>
              <c:f>Dashboard!$C$42:$L$42</c:f>
              <c:numCache>
                <c:formatCode>\$#,##0;"($"#,##0\);\-</c:formatCode>
                <c:ptCount val="10"/>
                <c:pt idx="0">
                  <c:v>269300.04</c:v>
                </c:pt>
                <c:pt idx="1">
                  <c:v>289614.82</c:v>
                </c:pt>
                <c:pt idx="2">
                  <c:v>317950.41</c:v>
                </c:pt>
                <c:pt idx="3">
                  <c:v>344406.1</c:v>
                </c:pt>
                <c:pt idx="4">
                  <c:v>374889.2</c:v>
                </c:pt>
              </c:numCache>
            </c:numRef>
          </c:val>
        </c:ser>
        <c:ser>
          <c:idx val="1"/>
          <c:order val="1"/>
          <c:spPr>
            <a:solidFill>
              <a:srgbClr val="b8860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Dashboard!$C$40:$L$40</c:f>
              <c:strCache>
                <c:ptCount val="10"/>
                <c:pt idx="0">
                  <c:v>2021</c:v>
                </c:pt>
                <c:pt idx="1">
                  <c:v>2022</c:v>
                </c:pt>
                <c:pt idx="2">
                  <c:v>2023</c:v>
                </c:pt>
                <c:pt idx="3">
                  <c:v>2024</c:v>
                </c:pt>
                <c:pt idx="4">
                  <c:v>2025</c:v>
                </c:pt>
                <c:pt idx="5">
                  <c:v>2026</c:v>
                </c:pt>
                <c:pt idx="6">
                  <c:v>2027</c:v>
                </c:pt>
                <c:pt idx="7">
                  <c:v>2028</c:v>
                </c:pt>
                <c:pt idx="8">
                  <c:v>2029</c:v>
                </c:pt>
                <c:pt idx="9">
                  <c:v>2030</c:v>
                </c:pt>
              </c:strCache>
            </c:strRef>
          </c:cat>
          <c:val>
            <c:numRef>
              <c:f>Dashboard!$C$43:$L$43</c:f>
              <c:numCache>
                <c:formatCode>\$#,##0;"($"#,##0\);\-</c:formatCode>
                <c:ptCount val="10"/>
                <c:pt idx="5">
                  <c:v>398117.300826</c:v>
                </c:pt>
                <c:pt idx="6">
                  <c:v>421513.739160376</c:v>
                </c:pt>
                <c:pt idx="7">
                  <c:v>444882.389058064</c:v>
                </c:pt>
                <c:pt idx="8">
                  <c:v>468182.387982329</c:v>
                </c:pt>
                <c:pt idx="9">
                  <c:v>491199.410111353</c:v>
                </c:pt>
              </c:numCache>
            </c:numRef>
          </c:val>
        </c:ser>
        <c:gapWidth val="150"/>
        <c:overlap val="100"/>
        <c:axId val="56313976"/>
        <c:axId val="92597343"/>
      </c:barChart>
      <c:catAx>
        <c:axId val="563139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97343"/>
        <c:crosses val="autoZero"/>
        <c:auto val="1"/>
        <c:lblAlgn val="ctr"/>
        <c:lblOffset val="100"/>
        <c:noMultiLvlLbl val="0"/>
      </c:catAx>
      <c:valAx>
        <c:axId val="9259734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3139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Tornado — Share Price Sensitivity ($/share)</a:t>
            </a:r>
          </a:p>
        </c:rich>
      </c:tx>
      <c:overlay val="0"/>
      <c:spPr>
        <a:noFill/>
        <a:ln w="0">
          <a:noFill/>
        </a:ln>
      </c:spPr>
    </c:title>
    <c:autoTitleDeleted val="0"/>
    <c:plotArea>
      <c:barChart>
        <c:barDir val="bar"/>
        <c:grouping val="stacked"/>
        <c:varyColors val="0"/>
        <c:ser>
          <c:idx val="0"/>
          <c:order val="0"/>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Dashboard!$B$95:$B$98</c:f>
              <c:strCache>
                <c:ptCount val="4"/>
                <c:pt idx="0">
                  <c:v>WACC ± 50 bps</c:v>
                </c:pt>
                <c:pt idx="1">
                  <c:v>Terminal Growth ± 50 bps</c:v>
                </c:pt>
                <c:pt idx="2">
                  <c:v>Exit Multiple ± 1.0x</c:v>
                </c:pt>
                <c:pt idx="3">
                  <c:v>FY26-30E Revenue ± 5% (illustrative)</c:v>
                </c:pt>
              </c:strCache>
            </c:strRef>
          </c:cat>
          <c:val>
            <c:numRef>
              <c:f>Dashboard!$C$95:$C$98</c:f>
              <c:numCache>
                <c:formatCode>\$#,##0.00;"($"#,##0.00\);\-</c:formatCode>
                <c:ptCount val="4"/>
                <c:pt idx="0">
                  <c:v>23.8731425668659</c:v>
                </c:pt>
                <c:pt idx="1">
                  <c:v>24.2131967967628</c:v>
                </c:pt>
                <c:pt idx="2">
                  <c:v>28.4778666422504</c:v>
                </c:pt>
                <c:pt idx="3">
                  <c:v>24.157571920593</c:v>
                </c:pt>
              </c:numCache>
            </c:numRef>
          </c:val>
        </c:ser>
        <c:ser>
          <c:idx val="1"/>
          <c:order val="1"/>
          <c:spPr>
            <a:solidFill>
              <a:srgbClr val="6e1e1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Dashboard!$B$95:$B$98</c:f>
              <c:strCache>
                <c:ptCount val="4"/>
                <c:pt idx="0">
                  <c:v>WACC ± 50 bps</c:v>
                </c:pt>
                <c:pt idx="1">
                  <c:v>Terminal Growth ± 50 bps</c:v>
                </c:pt>
                <c:pt idx="2">
                  <c:v>Exit Multiple ± 1.0x</c:v>
                </c:pt>
                <c:pt idx="3">
                  <c:v>FY26-30E Revenue ± 5% (illustrative)</c:v>
                </c:pt>
              </c:strCache>
            </c:strRef>
          </c:cat>
          <c:val>
            <c:numRef>
              <c:f>Dashboard!$E$95:$E$98</c:f>
              <c:numCache>
                <c:formatCode>\$#,##0.00;"($"#,##0.00\);\-</c:formatCode>
                <c:ptCount val="4"/>
                <c:pt idx="0">
                  <c:v>2.94185646579682</c:v>
                </c:pt>
                <c:pt idx="1">
                  <c:v>2.21346352716768</c:v>
                </c:pt>
                <c:pt idx="2">
                  <c:v>3.6046780077622</c:v>
                </c:pt>
                <c:pt idx="3">
                  <c:v>2.18010896295813</c:v>
                </c:pt>
              </c:numCache>
            </c:numRef>
          </c:val>
        </c:ser>
        <c:gapWidth val="150"/>
        <c:overlap val="100"/>
        <c:axId val="41380623"/>
        <c:axId val="76493328"/>
      </c:barChart>
      <c:catAx>
        <c:axId val="413806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493328"/>
        <c:crosses val="autoZero"/>
        <c:auto val="1"/>
        <c:lblAlgn val="ctr"/>
        <c:lblOffset val="100"/>
        <c:noMultiLvlLbl val="0"/>
      </c:catAx>
      <c:valAx>
        <c:axId val="76493328"/>
        <c:scaling>
          <c:orientation val="minMax"/>
        </c:scaling>
        <c:delete val="0"/>
        <c:axPos val="l"/>
        <c:majorGridlines>
          <c:spPr>
            <a:ln w="9360">
              <a:solidFill>
                <a:srgbClr val="878787"/>
              </a:solidFill>
              <a:round/>
            </a:ln>
          </c:spPr>
        </c:majorGridlines>
        <c:numFmt formatCode="\$#,##0.00;&quot;($&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3806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Valuation Range Summary — DCF vs. Comparables (Football Field)</a:t>
            </a:r>
          </a:p>
        </c:rich>
      </c:tx>
      <c:overlay val="0"/>
      <c:spPr>
        <a:noFill/>
        <a:ln w="0">
          <a:noFill/>
        </a:ln>
      </c:spPr>
    </c:title>
    <c:autoTitleDeleted val="0"/>
    <c:plotArea>
      <c:barChart>
        <c:barDir val="bar"/>
        <c:grouping val="stacked"/>
        <c:varyColors val="0"/>
        <c:ser>
          <c:idx val="0"/>
          <c:order val="0"/>
          <c:spPr>
            <a:no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Comparables!$C$44:$G$44</c:f>
              <c:strCache>
                <c:ptCount val="5"/>
                <c:pt idx="0">
                  <c:v>DCF - Perpetuity</c:v>
                </c:pt>
                <c:pt idx="1">
                  <c:v>DCF - Exit Mult.</c:v>
                </c:pt>
                <c:pt idx="2">
                  <c:v>Comps - EV/EBITDA</c:v>
                </c:pt>
                <c:pt idx="3">
                  <c:v>Comps - EV/Rev</c:v>
                </c:pt>
                <c:pt idx="4">
                  <c:v>Comps - P/E</c:v>
                </c:pt>
              </c:strCache>
            </c:strRef>
          </c:cat>
          <c:val>
            <c:numRef>
              <c:f>Comparables!$C$45:$G$45</c:f>
              <c:numCache>
                <c:formatCode>\$#,##0.00;"($"#,##0.00\);\-</c:formatCode>
                <c:ptCount val="5"/>
                <c:pt idx="0">
                  <c:v>21.1676015385295</c:v>
                </c:pt>
                <c:pt idx="1">
                  <c:v>28.4778666422504</c:v>
                </c:pt>
                <c:pt idx="2">
                  <c:v>24.1896794361464</c:v>
                </c:pt>
                <c:pt idx="3">
                  <c:v>23.1471867102722</c:v>
                </c:pt>
                <c:pt idx="4">
                  <c:v>21.4352264103007</c:v>
                </c:pt>
              </c:numCache>
            </c:numRef>
          </c:val>
        </c:ser>
        <c:ser>
          <c:idx val="1"/>
          <c:order val="1"/>
          <c:spPr>
            <a:solidFill>
              <a:srgbClr val="1f3d2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Comparables!$C$44:$G$44</c:f>
              <c:strCache>
                <c:ptCount val="5"/>
                <c:pt idx="0">
                  <c:v>DCF - Perpetuity</c:v>
                </c:pt>
                <c:pt idx="1">
                  <c:v>DCF - Exit Mult.</c:v>
                </c:pt>
                <c:pt idx="2">
                  <c:v>Comps - EV/EBITDA</c:v>
                </c:pt>
                <c:pt idx="3">
                  <c:v>Comps - EV/Rev</c:v>
                </c:pt>
                <c:pt idx="4">
                  <c:v>Comps - P/E</c:v>
                </c:pt>
              </c:strCache>
            </c:strRef>
          </c:cat>
          <c:val>
            <c:numRef>
              <c:f>Comparables!$C$46:$G$46</c:f>
              <c:numCache>
                <c:formatCode>\$#,##0.00;"($"#,##0.00\);\-</c:formatCode>
                <c:ptCount val="5"/>
                <c:pt idx="0">
                  <c:v>11.0110688311292</c:v>
                </c:pt>
                <c:pt idx="1">
                  <c:v>3.6046780077622</c:v>
                </c:pt>
                <c:pt idx="2">
                  <c:v>7.64221045503104</c:v>
                </c:pt>
                <c:pt idx="3">
                  <c:v>11.4920457970392</c:v>
                </c:pt>
                <c:pt idx="4">
                  <c:v>6.73285957759445</c:v>
                </c:pt>
              </c:numCache>
            </c:numRef>
          </c:val>
        </c:ser>
        <c:gapWidth val="150"/>
        <c:overlap val="100"/>
        <c:axId val="34973865"/>
        <c:axId val="3536518"/>
      </c:barChart>
      <c:catAx>
        <c:axId val="34973865"/>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 share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36518"/>
        <c:crosses val="autoZero"/>
        <c:auto val="1"/>
        <c:lblAlgn val="ctr"/>
        <c:lblOffset val="100"/>
        <c:noMultiLvlLbl val="0"/>
      </c:catAx>
      <c:valAx>
        <c:axId val="3536518"/>
        <c:scaling>
          <c:orientation val="minMax"/>
        </c:scaling>
        <c:delete val="0"/>
        <c:axPos val="l"/>
        <c:majorGridlines>
          <c:spPr>
            <a:ln w="9360">
              <a:solidFill>
                <a:srgbClr val="878787"/>
              </a:solidFill>
              <a:round/>
            </a:ln>
          </c:spPr>
        </c:majorGridlines>
        <c:numFmt formatCode="\$#,##0.00;&quot;($&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97386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
</Relationships>
</file>

<file path=xl/drawings/_rels/drawing2.xml.rels><?xml version="1.0" encoding="UTF-8"?>
<Relationships xmlns="http://schemas.openxmlformats.org/package/2006/relationships"><Relationship Id="rId1"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0</xdr:rowOff>
    </xdr:from>
    <xdr:to>
      <xdr:col>7</xdr:col>
      <xdr:colOff>135720</xdr:colOff>
      <xdr:row>31</xdr:row>
      <xdr:rowOff>1080</xdr:rowOff>
    </xdr:to>
    <xdr:graphicFrame>
      <xdr:nvGraphicFramePr>
        <xdr:cNvPr id="0" name="Chart 1"/>
        <xdr:cNvGraphicFramePr/>
      </xdr:nvGraphicFramePr>
      <xdr:xfrm>
        <a:off x="176400" y="28479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14</xdr:row>
      <xdr:rowOff>0</xdr:rowOff>
    </xdr:from>
    <xdr:to>
      <xdr:col>13</xdr:col>
      <xdr:colOff>90360</xdr:colOff>
      <xdr:row>31</xdr:row>
      <xdr:rowOff>1080</xdr:rowOff>
    </xdr:to>
    <xdr:graphicFrame>
      <xdr:nvGraphicFramePr>
        <xdr:cNvPr id="1" name="Chart 2"/>
        <xdr:cNvGraphicFramePr/>
      </xdr:nvGraphicFramePr>
      <xdr:xfrm>
        <a:off x="8634600" y="2847960"/>
        <a:ext cx="43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34</xdr:row>
      <xdr:rowOff>0</xdr:rowOff>
    </xdr:from>
    <xdr:to>
      <xdr:col>5</xdr:col>
      <xdr:colOff>630360</xdr:colOff>
      <xdr:row>50</xdr:row>
      <xdr:rowOff>11520</xdr:rowOff>
    </xdr:to>
    <xdr:graphicFrame>
      <xdr:nvGraphicFramePr>
        <xdr:cNvPr id="2" name="Chart 3"/>
        <xdr:cNvGraphicFramePr/>
      </xdr:nvGraphicFramePr>
      <xdr:xfrm>
        <a:off x="176400" y="6657840"/>
        <a:ext cx="485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34</xdr:row>
      <xdr:rowOff>0</xdr:rowOff>
    </xdr:from>
    <xdr:to>
      <xdr:col>11</xdr:col>
      <xdr:colOff>630720</xdr:colOff>
      <xdr:row>50</xdr:row>
      <xdr:rowOff>11520</xdr:rowOff>
    </xdr:to>
    <xdr:graphicFrame>
      <xdr:nvGraphicFramePr>
        <xdr:cNvPr id="3" name="Chart 4"/>
        <xdr:cNvGraphicFramePr/>
      </xdr:nvGraphicFramePr>
      <xdr:xfrm>
        <a:off x="6520320" y="6657840"/>
        <a:ext cx="485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34</xdr:row>
      <xdr:rowOff>0</xdr:rowOff>
    </xdr:from>
    <xdr:to>
      <xdr:col>20</xdr:col>
      <xdr:colOff>133560</xdr:colOff>
      <xdr:row>50</xdr:row>
      <xdr:rowOff>11520</xdr:rowOff>
    </xdr:to>
    <xdr:graphicFrame>
      <xdr:nvGraphicFramePr>
        <xdr:cNvPr id="4" name="Chart 5"/>
        <xdr:cNvGraphicFramePr/>
      </xdr:nvGraphicFramePr>
      <xdr:xfrm>
        <a:off x="12863880" y="6657840"/>
        <a:ext cx="485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54</xdr:row>
      <xdr:rowOff>0</xdr:rowOff>
    </xdr:from>
    <xdr:to>
      <xdr:col>7</xdr:col>
      <xdr:colOff>855720</xdr:colOff>
      <xdr:row>70</xdr:row>
      <xdr:rowOff>117360</xdr:rowOff>
    </xdr:to>
    <xdr:graphicFrame>
      <xdr:nvGraphicFramePr>
        <xdr:cNvPr id="5" name="Chart 6"/>
        <xdr:cNvGraphicFramePr/>
      </xdr:nvGraphicFramePr>
      <xdr:xfrm>
        <a:off x="176400" y="10468080"/>
        <a:ext cx="719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73</xdr:row>
      <xdr:rowOff>116280</xdr:rowOff>
    </xdr:from>
    <xdr:to>
      <xdr:col>5</xdr:col>
      <xdr:colOff>630360</xdr:colOff>
      <xdr:row>89</xdr:row>
      <xdr:rowOff>127800</xdr:rowOff>
    </xdr:to>
    <xdr:graphicFrame>
      <xdr:nvGraphicFramePr>
        <xdr:cNvPr id="6" name="Chart 7"/>
        <xdr:cNvGraphicFramePr/>
      </xdr:nvGraphicFramePr>
      <xdr:xfrm>
        <a:off x="176400" y="14277960"/>
        <a:ext cx="4859640" cy="305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73</xdr:row>
      <xdr:rowOff>116280</xdr:rowOff>
    </xdr:from>
    <xdr:to>
      <xdr:col>11</xdr:col>
      <xdr:colOff>630720</xdr:colOff>
      <xdr:row>89</xdr:row>
      <xdr:rowOff>127800</xdr:rowOff>
    </xdr:to>
    <xdr:graphicFrame>
      <xdr:nvGraphicFramePr>
        <xdr:cNvPr id="7" name="Chart 8"/>
        <xdr:cNvGraphicFramePr/>
      </xdr:nvGraphicFramePr>
      <xdr:xfrm>
        <a:off x="6520320" y="14277960"/>
        <a:ext cx="4859640" cy="305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0</xdr:colOff>
      <xdr:row>73</xdr:row>
      <xdr:rowOff>116280</xdr:rowOff>
    </xdr:from>
    <xdr:to>
      <xdr:col>20</xdr:col>
      <xdr:colOff>133560</xdr:colOff>
      <xdr:row>89</xdr:row>
      <xdr:rowOff>127800</xdr:rowOff>
    </xdr:to>
    <xdr:graphicFrame>
      <xdr:nvGraphicFramePr>
        <xdr:cNvPr id="8" name="Chart 9"/>
        <xdr:cNvGraphicFramePr/>
      </xdr:nvGraphicFramePr>
      <xdr:xfrm>
        <a:off x="12863880" y="14277960"/>
        <a:ext cx="4859640" cy="305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99</xdr:row>
      <xdr:rowOff>115920</xdr:rowOff>
    </xdr:from>
    <xdr:to>
      <xdr:col>7</xdr:col>
      <xdr:colOff>495720</xdr:colOff>
      <xdr:row>115</xdr:row>
      <xdr:rowOff>127800</xdr:rowOff>
    </xdr:to>
    <xdr:graphicFrame>
      <xdr:nvGraphicFramePr>
        <xdr:cNvPr id="9" name="Chart 10"/>
        <xdr:cNvGraphicFramePr/>
      </xdr:nvGraphicFramePr>
      <xdr:xfrm>
        <a:off x="176400" y="19230840"/>
        <a:ext cx="6839640" cy="3059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47</xdr:row>
      <xdr:rowOff>0</xdr:rowOff>
    </xdr:from>
    <xdr:to>
      <xdr:col>6</xdr:col>
      <xdr:colOff>73080</xdr:colOff>
      <xdr:row>64</xdr:row>
      <xdr:rowOff>181440</xdr:rowOff>
    </xdr:to>
    <xdr:graphicFrame>
      <xdr:nvGraphicFramePr>
        <xdr:cNvPr id="10" name="Chart 1"/>
        <xdr:cNvGraphicFramePr/>
      </xdr:nvGraphicFramePr>
      <xdr:xfrm>
        <a:off x="176400" y="9363240"/>
        <a:ext cx="683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odel.xlsx" TargetMode="External"/><Relationship Id="rId2" Type="http://schemas.openxmlformats.org/officeDocument/2006/relationships/hyperlink" Target="model.xlsx" TargetMode="External"/><Relationship Id="rId3" Type="http://schemas.openxmlformats.org/officeDocument/2006/relationships/hyperlink" Target="model.xlsx" TargetMode="External"/><Relationship Id="rId4" Type="http://schemas.openxmlformats.org/officeDocument/2006/relationships/hyperlink" Target="model.xlsx" TargetMode="External"/><Relationship Id="rId5" Type="http://schemas.openxmlformats.org/officeDocument/2006/relationships/hyperlink" Target="model.xlsx" TargetMode="External"/><Relationship Id="rId6" Type="http://schemas.openxmlformats.org/officeDocument/2006/relationships/hyperlink" Target="model.xlsx" TargetMode="External"/><Relationship Id="rId7" Type="http://schemas.openxmlformats.org/officeDocument/2006/relationships/hyperlink" Target="model.xlsx" TargetMode="External"/><Relationship Id="rId8" Type="http://schemas.openxmlformats.org/officeDocument/2006/relationships/hyperlink" Target="model.xlsx" TargetMode="External"/><Relationship Id="rId9" Type="http://schemas.openxmlformats.org/officeDocument/2006/relationships/hyperlink" Target="model.xlsx" TargetMode="External"/><Relationship Id="rId10" Type="http://schemas.openxmlformats.org/officeDocument/2006/relationships/hyperlink" Target="model.xlsx" TargetMode="External"/><Relationship Id="rId11" Type="http://schemas.openxmlformats.org/officeDocument/2006/relationships/hyperlink" Target="model.xlsx" TargetMode="External"/><Relationship Id="rId12" Type="http://schemas.openxmlformats.org/officeDocument/2006/relationships/hyperlink" Target="model.xlsx" TargetMode="External"/><Relationship Id="rId13" Type="http://schemas.openxmlformats.org/officeDocument/2006/relationships/hyperlink" Target="model.xlsx" TargetMode="External"/><Relationship Id="rId14" Type="http://schemas.openxmlformats.org/officeDocument/2006/relationships/hyperlink" Target="model.xlsx" TargetMode="External"/><Relationship Id="rId15" Type="http://schemas.openxmlformats.org/officeDocument/2006/relationships/hyperlink" Target="model.xlsx" TargetMode="External"/>
</Relationships>
</file>

<file path=xl/worksheets/_rels/sheet2.xml.rels><?xml version="1.0" encoding="UTF-8"?>
<Relationships xmlns="http://schemas.openxmlformats.org/package/2006/relationships"><Relationship Id="rId1" Type="http://schemas.openxmlformats.org/officeDocument/2006/relationships/hyperlink" Target="model.xlsx" TargetMode="External"/><Relationship Id="rId2" Type="http://schemas.openxmlformats.org/officeDocument/2006/relationships/hyperlink" Target="model.xlsx" TargetMode="External"/><Relationship Id="rId3" Type="http://schemas.openxmlformats.org/officeDocument/2006/relationships/hyperlink" Target="model.xlsx" TargetMode="External"/><Relationship Id="rId4" Type="http://schemas.openxmlformats.org/officeDocument/2006/relationships/hyperlink" Target="model.xlsx" TargetMode="External"/><Relationship Id="rId5" Type="http://schemas.openxmlformats.org/officeDocument/2006/relationships/hyperlink" Target="model.xlsx" TargetMode="External"/><Relationship Id="rId6" Type="http://schemas.openxmlformats.org/officeDocument/2006/relationships/hyperlink" Target="model.xlsx" TargetMode="External"/><Relationship Id="rId7" Type="http://schemas.openxmlformats.org/officeDocument/2006/relationships/hyperlink" Target="model.xlsx" TargetMode="External"/><Relationship Id="rId8" Type="http://schemas.openxmlformats.org/officeDocument/2006/relationships/hyperlink" Target="model.xlsx" TargetMode="External"/><Relationship Id="rId9" Type="http://schemas.openxmlformats.org/officeDocument/2006/relationships/hyperlink" Target="model.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model.xlsx" TargetMode="Externa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B1D"/>
    <pageSetUpPr fitToPage="true"/>
  </sheetPr>
  <dimension ref="A1:N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4" min="2" style="0" width="8.5"/>
  </cols>
  <sheetData>
    <row r="1" customFormat="false" ht="7.5" hidden="false" customHeight="true" outlineLevel="0" collapsed="false">
      <c r="A1" s="1"/>
      <c r="B1" s="1"/>
      <c r="C1" s="1"/>
      <c r="D1" s="1"/>
      <c r="E1" s="1"/>
      <c r="F1" s="1"/>
      <c r="G1" s="1"/>
      <c r="H1" s="1"/>
      <c r="I1" s="1"/>
      <c r="J1" s="1"/>
      <c r="K1" s="1"/>
      <c r="L1" s="1"/>
      <c r="M1" s="1"/>
      <c r="N1" s="1"/>
    </row>
    <row r="2" customFormat="false" ht="7.5" hidden="false" customHeight="true" outlineLevel="0" collapsed="false">
      <c r="A2" s="1"/>
      <c r="B2" s="1"/>
      <c r="C2" s="1"/>
      <c r="D2" s="1"/>
      <c r="E2" s="1"/>
      <c r="F2" s="1"/>
      <c r="G2" s="1"/>
      <c r="H2" s="1"/>
      <c r="I2" s="1"/>
      <c r="J2" s="1"/>
      <c r="K2" s="1"/>
      <c r="L2" s="1"/>
      <c r="M2" s="1"/>
      <c r="N2" s="1"/>
    </row>
    <row r="3" customFormat="false" ht="3.75" hidden="false" customHeight="true" outlineLevel="0" collapsed="false">
      <c r="A3" s="2"/>
      <c r="B3" s="2"/>
      <c r="C3" s="2"/>
      <c r="D3" s="2"/>
      <c r="E3" s="2"/>
      <c r="F3" s="2"/>
      <c r="G3" s="2"/>
      <c r="H3" s="2"/>
      <c r="I3" s="2"/>
      <c r="J3" s="2"/>
      <c r="K3" s="2"/>
      <c r="L3" s="2"/>
      <c r="M3" s="2"/>
      <c r="N3" s="2"/>
    </row>
    <row r="4" customFormat="false" ht="15" hidden="false" customHeight="false" outlineLevel="0" collapsed="false">
      <c r="A4" s="3"/>
      <c r="B4" s="3"/>
      <c r="C4" s="3"/>
      <c r="D4" s="3"/>
      <c r="E4" s="3"/>
      <c r="F4" s="3"/>
      <c r="G4" s="3"/>
      <c r="H4" s="3"/>
      <c r="I4" s="3"/>
      <c r="J4" s="3"/>
      <c r="K4" s="3"/>
      <c r="L4" s="3"/>
      <c r="M4" s="3"/>
      <c r="N4" s="3"/>
    </row>
    <row r="5" customFormat="false" ht="15" hidden="false" customHeight="false" outlineLevel="0" collapsed="false">
      <c r="A5" s="3"/>
      <c r="B5" s="3"/>
      <c r="C5" s="3"/>
      <c r="D5" s="3"/>
      <c r="E5" s="3"/>
      <c r="F5" s="3"/>
      <c r="G5" s="3"/>
      <c r="H5" s="3"/>
      <c r="I5" s="3"/>
      <c r="J5" s="3"/>
      <c r="K5" s="3"/>
      <c r="L5" s="3"/>
      <c r="M5" s="3"/>
      <c r="N5" s="3"/>
    </row>
    <row r="6" customFormat="false" ht="15" hidden="false" customHeight="false" outlineLevel="0" collapsed="false">
      <c r="A6" s="3"/>
      <c r="B6" s="3"/>
      <c r="C6" s="3"/>
      <c r="D6" s="3"/>
      <c r="E6" s="3"/>
      <c r="F6" s="3"/>
      <c r="G6" s="3"/>
      <c r="H6" s="3"/>
      <c r="I6" s="3"/>
      <c r="J6" s="3"/>
      <c r="K6" s="3"/>
      <c r="L6" s="3"/>
      <c r="M6" s="3"/>
      <c r="N6" s="3"/>
    </row>
    <row r="7" customFormat="false" ht="36.25" hidden="false" customHeight="false" outlineLevel="0" collapsed="false">
      <c r="A7" s="3"/>
      <c r="B7" s="4" t="s">
        <v>0</v>
      </c>
      <c r="C7" s="4"/>
      <c r="D7" s="4"/>
      <c r="E7" s="4"/>
      <c r="F7" s="4"/>
      <c r="G7" s="4"/>
      <c r="H7" s="4"/>
      <c r="I7" s="4"/>
      <c r="J7" s="4"/>
      <c r="K7" s="4"/>
      <c r="L7" s="4"/>
      <c r="M7" s="4"/>
      <c r="N7" s="4"/>
    </row>
    <row r="8" customFormat="false" ht="15" hidden="false" customHeight="false" outlineLevel="0" collapsed="false">
      <c r="A8" s="3"/>
      <c r="B8" s="3"/>
      <c r="C8" s="3"/>
      <c r="D8" s="3"/>
      <c r="E8" s="3"/>
      <c r="F8" s="3"/>
      <c r="G8" s="3"/>
      <c r="H8" s="3"/>
      <c r="I8" s="3"/>
      <c r="J8" s="3"/>
      <c r="K8" s="3"/>
      <c r="L8" s="3"/>
      <c r="M8" s="3"/>
      <c r="N8" s="3"/>
    </row>
    <row r="9" customFormat="false" ht="18.55" hidden="false" customHeight="false" outlineLevel="0" collapsed="false">
      <c r="A9" s="3"/>
      <c r="B9" s="5" t="s">
        <v>1</v>
      </c>
      <c r="C9" s="5"/>
      <c r="D9" s="5"/>
      <c r="E9" s="5"/>
      <c r="F9" s="5"/>
      <c r="G9" s="5"/>
      <c r="H9" s="5"/>
      <c r="I9" s="5"/>
      <c r="J9" s="5"/>
      <c r="K9" s="5"/>
      <c r="L9" s="5"/>
      <c r="M9" s="5"/>
      <c r="N9" s="5"/>
    </row>
    <row r="10" customFormat="false" ht="15" hidden="false" customHeight="false" outlineLevel="0" collapsed="false">
      <c r="A10" s="3"/>
      <c r="B10" s="3"/>
      <c r="C10" s="3"/>
      <c r="D10" s="3"/>
      <c r="E10" s="3"/>
      <c r="F10" s="3"/>
      <c r="G10" s="3"/>
      <c r="H10" s="3"/>
      <c r="I10" s="3"/>
      <c r="J10" s="3"/>
      <c r="K10" s="3"/>
      <c r="L10" s="3"/>
      <c r="M10" s="3"/>
      <c r="N10" s="3"/>
    </row>
    <row r="11" customFormat="false" ht="3" hidden="false" customHeight="true" outlineLevel="0" collapsed="false">
      <c r="A11" s="3"/>
      <c r="B11" s="3"/>
      <c r="C11" s="3"/>
      <c r="D11" s="6"/>
      <c r="E11" s="6"/>
      <c r="F11" s="6"/>
      <c r="G11" s="6"/>
      <c r="H11" s="6"/>
      <c r="I11" s="6"/>
      <c r="J11" s="6"/>
      <c r="K11" s="6"/>
      <c r="L11" s="3"/>
      <c r="M11" s="3"/>
      <c r="N11" s="3"/>
    </row>
    <row r="12" customFormat="false" ht="15" hidden="false" customHeight="false" outlineLevel="0" collapsed="false">
      <c r="A12" s="3"/>
      <c r="B12" s="3"/>
      <c r="C12" s="3"/>
      <c r="D12" s="3"/>
      <c r="E12" s="3"/>
      <c r="F12" s="3"/>
      <c r="G12" s="3"/>
      <c r="H12" s="3"/>
      <c r="I12" s="3"/>
      <c r="J12" s="3"/>
      <c r="K12" s="3"/>
      <c r="L12" s="3"/>
      <c r="M12" s="3"/>
      <c r="N12" s="3"/>
    </row>
    <row r="13" customFormat="false" ht="15" hidden="false" customHeight="false" outlineLevel="0" collapsed="false">
      <c r="A13" s="3"/>
      <c r="B13" s="3"/>
      <c r="C13" s="3"/>
      <c r="D13" s="3"/>
      <c r="E13" s="3"/>
      <c r="F13" s="3"/>
      <c r="G13" s="3"/>
      <c r="H13" s="3"/>
      <c r="I13" s="3"/>
      <c r="J13" s="3"/>
      <c r="K13" s="3"/>
      <c r="L13" s="3"/>
      <c r="M13" s="3"/>
      <c r="N13" s="3"/>
    </row>
    <row r="14" customFormat="false" ht="16.15" hidden="false" customHeight="false" outlineLevel="0" collapsed="false">
      <c r="A14" s="3"/>
      <c r="B14" s="7" t="s">
        <v>2</v>
      </c>
      <c r="C14" s="7"/>
      <c r="D14" s="7"/>
      <c r="E14" s="7"/>
      <c r="F14" s="7"/>
      <c r="G14" s="7"/>
      <c r="H14" s="7"/>
      <c r="I14" s="7"/>
      <c r="J14" s="7"/>
      <c r="K14" s="7"/>
      <c r="L14" s="7"/>
      <c r="M14" s="7"/>
      <c r="N14" s="7"/>
    </row>
    <row r="15" customFormat="false" ht="15" hidden="false" customHeight="false" outlineLevel="0" collapsed="false">
      <c r="A15" s="3"/>
      <c r="B15" s="3"/>
      <c r="C15" s="3"/>
      <c r="D15" s="3"/>
      <c r="E15" s="3"/>
      <c r="F15" s="3"/>
      <c r="G15" s="3"/>
      <c r="H15" s="3"/>
      <c r="I15" s="3"/>
      <c r="J15" s="3"/>
      <c r="K15" s="3"/>
      <c r="L15" s="3"/>
      <c r="M15" s="3"/>
      <c r="N15" s="3"/>
    </row>
    <row r="16" customFormat="false" ht="15" hidden="false" customHeight="false" outlineLevel="0" collapsed="false">
      <c r="A16" s="3"/>
      <c r="B16" s="8" t="s">
        <v>3</v>
      </c>
      <c r="C16" s="8"/>
      <c r="D16" s="8"/>
      <c r="E16" s="8"/>
      <c r="F16" s="8"/>
      <c r="G16" s="8"/>
      <c r="H16" s="8"/>
      <c r="I16" s="8"/>
      <c r="J16" s="8"/>
      <c r="K16" s="8"/>
      <c r="L16" s="8"/>
      <c r="M16" s="8"/>
      <c r="N16" s="8"/>
    </row>
    <row r="17" customFormat="false" ht="15" hidden="false" customHeight="false" outlineLevel="0" collapsed="false">
      <c r="A17" s="3"/>
      <c r="B17" s="3"/>
      <c r="C17" s="3"/>
      <c r="D17" s="3"/>
      <c r="E17" s="3"/>
      <c r="F17" s="3"/>
      <c r="G17" s="3"/>
      <c r="H17" s="3"/>
      <c r="I17" s="3"/>
      <c r="J17" s="3"/>
      <c r="K17" s="3"/>
      <c r="L17" s="3"/>
      <c r="M17" s="3"/>
      <c r="N17" s="3"/>
    </row>
    <row r="18" customFormat="false" ht="15" hidden="false" customHeight="false" outlineLevel="0" collapsed="false">
      <c r="A18" s="3"/>
      <c r="B18" s="3"/>
      <c r="C18" s="3"/>
      <c r="D18" s="3"/>
      <c r="E18" s="3"/>
      <c r="F18" s="3"/>
      <c r="G18" s="3"/>
      <c r="H18" s="3"/>
      <c r="I18" s="3"/>
      <c r="J18" s="3"/>
      <c r="K18" s="3"/>
      <c r="L18" s="3"/>
      <c r="M18" s="3"/>
      <c r="N18" s="3"/>
    </row>
    <row r="19" customFormat="false" ht="15" hidden="false" customHeight="false" outlineLevel="0" collapsed="false">
      <c r="A19" s="3"/>
      <c r="B19" s="3"/>
      <c r="C19" s="3"/>
      <c r="D19" s="3"/>
      <c r="E19" s="3"/>
      <c r="F19" s="9" t="s">
        <v>4</v>
      </c>
      <c r="G19" s="9"/>
      <c r="H19" s="9"/>
      <c r="I19" s="9"/>
      <c r="J19" s="3"/>
      <c r="K19" s="3"/>
      <c r="L19" s="3"/>
      <c r="M19" s="3"/>
      <c r="N19" s="3"/>
    </row>
    <row r="20" customFormat="false" ht="15" hidden="false" customHeight="false" outlineLevel="0" collapsed="false">
      <c r="A20" s="3"/>
      <c r="B20" s="3"/>
      <c r="C20" s="3"/>
      <c r="D20" s="3"/>
      <c r="E20" s="3"/>
      <c r="F20" s="9"/>
      <c r="G20" s="9"/>
      <c r="H20" s="9"/>
      <c r="I20" s="9"/>
      <c r="J20" s="3"/>
      <c r="K20" s="3"/>
      <c r="L20" s="3"/>
      <c r="M20" s="3"/>
      <c r="N20" s="3"/>
    </row>
    <row r="21" customFormat="false" ht="15" hidden="false" customHeight="false" outlineLevel="0" collapsed="false">
      <c r="A21" s="3"/>
      <c r="B21" s="3"/>
      <c r="C21" s="3"/>
      <c r="D21" s="3"/>
      <c r="E21" s="3"/>
      <c r="F21" s="9"/>
      <c r="G21" s="9"/>
      <c r="H21" s="9"/>
      <c r="I21" s="9"/>
      <c r="J21" s="3"/>
      <c r="K21" s="3"/>
      <c r="L21" s="3"/>
      <c r="M21" s="3"/>
      <c r="N21" s="3"/>
    </row>
    <row r="22" customFormat="false" ht="15" hidden="false" customHeight="false" outlineLevel="0" collapsed="false">
      <c r="A22" s="3"/>
      <c r="B22" s="3"/>
      <c r="C22" s="3"/>
      <c r="D22" s="3"/>
      <c r="E22" s="3"/>
      <c r="F22" s="9"/>
      <c r="G22" s="9"/>
      <c r="H22" s="9"/>
      <c r="I22" s="9"/>
      <c r="J22" s="3"/>
      <c r="K22" s="3"/>
      <c r="L22" s="3"/>
      <c r="M22" s="3"/>
      <c r="N22" s="3"/>
    </row>
    <row r="23" customFormat="false" ht="15" hidden="false" customHeight="false" outlineLevel="0" collapsed="false">
      <c r="A23" s="3"/>
      <c r="B23" s="3"/>
      <c r="C23" s="3"/>
      <c r="D23" s="3"/>
      <c r="E23" s="3"/>
      <c r="F23" s="9"/>
      <c r="G23" s="9"/>
      <c r="H23" s="9"/>
      <c r="I23" s="9"/>
      <c r="J23" s="3"/>
      <c r="K23" s="3"/>
      <c r="L23" s="3"/>
      <c r="M23" s="3"/>
      <c r="N23" s="3"/>
    </row>
    <row r="24" customFormat="false" ht="15" hidden="false" customHeight="false" outlineLevel="0" collapsed="false">
      <c r="A24" s="3"/>
      <c r="B24" s="3"/>
      <c r="C24" s="3"/>
      <c r="D24" s="3"/>
      <c r="E24" s="3"/>
      <c r="F24" s="3"/>
      <c r="G24" s="3"/>
      <c r="H24" s="3"/>
      <c r="I24" s="3"/>
      <c r="J24" s="3"/>
      <c r="K24" s="3"/>
      <c r="L24" s="3"/>
      <c r="M24" s="3"/>
      <c r="N24" s="3"/>
    </row>
    <row r="25" customFormat="false" ht="15" hidden="false" customHeight="false" outlineLevel="0" collapsed="false">
      <c r="A25" s="3"/>
      <c r="B25" s="3"/>
      <c r="C25" s="3"/>
      <c r="D25" s="3"/>
      <c r="E25" s="3"/>
      <c r="F25" s="3"/>
      <c r="G25" s="3"/>
      <c r="H25" s="3"/>
      <c r="I25" s="3"/>
      <c r="J25" s="3"/>
      <c r="K25" s="3"/>
      <c r="L25" s="3"/>
      <c r="M25" s="3"/>
      <c r="N25" s="3"/>
    </row>
    <row r="26" customFormat="false" ht="15" hidden="false" customHeight="false" outlineLevel="0" collapsed="false">
      <c r="A26" s="3"/>
      <c r="B26" s="3"/>
      <c r="C26" s="3"/>
      <c r="D26" s="3"/>
      <c r="E26" s="3"/>
      <c r="F26" s="3"/>
      <c r="G26" s="3"/>
      <c r="H26" s="3"/>
      <c r="I26" s="3"/>
      <c r="J26" s="3"/>
      <c r="K26" s="3"/>
      <c r="L26" s="3"/>
      <c r="M26" s="3"/>
      <c r="N26" s="3"/>
    </row>
    <row r="27" customFormat="false" ht="21.75" hidden="false" customHeight="true" outlineLevel="0" collapsed="false">
      <c r="A27" s="3"/>
      <c r="B27" s="3"/>
      <c r="C27" s="10" t="s">
        <v>5</v>
      </c>
      <c r="D27" s="10"/>
      <c r="E27" s="10"/>
      <c r="F27" s="10"/>
      <c r="G27" s="10"/>
      <c r="H27" s="10"/>
      <c r="I27" s="10"/>
      <c r="J27" s="10"/>
      <c r="K27" s="10"/>
      <c r="L27" s="10"/>
      <c r="M27" s="3"/>
      <c r="N27" s="3"/>
    </row>
    <row r="28" customFormat="false" ht="15" hidden="false" customHeight="false" outlineLevel="0" collapsed="false">
      <c r="A28" s="3"/>
      <c r="B28" s="3"/>
      <c r="C28" s="11"/>
      <c r="D28" s="11"/>
      <c r="E28" s="11"/>
      <c r="F28" s="11"/>
      <c r="G28" s="11"/>
      <c r="H28" s="11"/>
      <c r="I28" s="11"/>
      <c r="J28" s="11"/>
      <c r="K28" s="11"/>
      <c r="L28" s="11"/>
      <c r="M28" s="3"/>
      <c r="N28" s="3"/>
    </row>
    <row r="29" customFormat="false" ht="15" hidden="false" customHeight="false" outlineLevel="0" collapsed="false">
      <c r="A29" s="3"/>
      <c r="B29" s="3"/>
      <c r="C29" s="11"/>
      <c r="D29" s="12" t="s">
        <v>6</v>
      </c>
      <c r="E29" s="13" t="s">
        <v>7</v>
      </c>
      <c r="F29" s="13"/>
      <c r="G29" s="13"/>
      <c r="H29" s="13"/>
      <c r="I29" s="13"/>
      <c r="J29" s="13"/>
      <c r="K29" s="11"/>
      <c r="L29" s="11"/>
      <c r="M29" s="3"/>
      <c r="N29" s="3"/>
    </row>
    <row r="30" customFormat="false" ht="15" hidden="false" customHeight="false" outlineLevel="0" collapsed="false">
      <c r="A30" s="3"/>
      <c r="B30" s="3"/>
      <c r="C30" s="11"/>
      <c r="D30" s="12" t="s">
        <v>8</v>
      </c>
      <c r="E30" s="13" t="s">
        <v>9</v>
      </c>
      <c r="F30" s="13"/>
      <c r="G30" s="13"/>
      <c r="H30" s="13"/>
      <c r="I30" s="13"/>
      <c r="J30" s="13"/>
      <c r="K30" s="11"/>
      <c r="L30" s="11"/>
      <c r="M30" s="3"/>
      <c r="N30" s="3"/>
    </row>
    <row r="31" customFormat="false" ht="15" hidden="false" customHeight="false" outlineLevel="0" collapsed="false">
      <c r="A31" s="3"/>
      <c r="B31" s="3"/>
      <c r="C31" s="11"/>
      <c r="D31" s="12" t="s">
        <v>10</v>
      </c>
      <c r="E31" s="13" t="s">
        <v>11</v>
      </c>
      <c r="F31" s="13"/>
      <c r="G31" s="13"/>
      <c r="H31" s="13"/>
      <c r="I31" s="13"/>
      <c r="J31" s="13"/>
      <c r="K31" s="11"/>
      <c r="L31" s="11"/>
      <c r="M31" s="3"/>
      <c r="N31" s="3"/>
    </row>
    <row r="32" customFormat="false" ht="15" hidden="false" customHeight="false" outlineLevel="0" collapsed="false">
      <c r="A32" s="3"/>
      <c r="B32" s="3"/>
      <c r="C32" s="11"/>
      <c r="D32" s="12" t="s">
        <v>12</v>
      </c>
      <c r="E32" s="13" t="s">
        <v>13</v>
      </c>
      <c r="F32" s="13"/>
      <c r="G32" s="13"/>
      <c r="H32" s="13"/>
      <c r="I32" s="13"/>
      <c r="J32" s="13"/>
      <c r="K32" s="11"/>
      <c r="L32" s="11"/>
      <c r="M32" s="3"/>
      <c r="N32" s="3"/>
    </row>
    <row r="33" customFormat="false" ht="15" hidden="false" customHeight="false" outlineLevel="0" collapsed="false">
      <c r="A33" s="3"/>
      <c r="B33" s="3"/>
      <c r="C33" s="11"/>
      <c r="D33" s="12" t="s">
        <v>14</v>
      </c>
      <c r="E33" s="13" t="s">
        <v>15</v>
      </c>
      <c r="F33" s="13"/>
      <c r="G33" s="13"/>
      <c r="H33" s="13"/>
      <c r="I33" s="13"/>
      <c r="J33" s="13"/>
      <c r="K33" s="11"/>
      <c r="L33" s="11"/>
      <c r="M33" s="3"/>
      <c r="N33" s="3"/>
    </row>
    <row r="34" customFormat="false" ht="15" hidden="false" customHeight="false" outlineLevel="0" collapsed="false">
      <c r="A34" s="3"/>
      <c r="B34" s="3"/>
      <c r="C34" s="11"/>
      <c r="D34" s="12" t="s">
        <v>16</v>
      </c>
      <c r="E34" s="13" t="s">
        <v>17</v>
      </c>
      <c r="F34" s="13"/>
      <c r="G34" s="13"/>
      <c r="H34" s="13"/>
      <c r="I34" s="13"/>
      <c r="J34" s="13"/>
      <c r="K34" s="11"/>
      <c r="L34" s="11"/>
      <c r="M34" s="3"/>
      <c r="N34" s="3"/>
    </row>
    <row r="35" customFormat="false" ht="15" hidden="false" customHeight="false" outlineLevel="0" collapsed="false">
      <c r="A35" s="3"/>
      <c r="B35" s="3"/>
      <c r="C35" s="11"/>
      <c r="D35" s="12" t="s">
        <v>18</v>
      </c>
      <c r="E35" s="13" t="s">
        <v>19</v>
      </c>
      <c r="F35" s="13"/>
      <c r="G35" s="13"/>
      <c r="H35" s="13"/>
      <c r="I35" s="13"/>
      <c r="J35" s="13"/>
      <c r="K35" s="11"/>
      <c r="L35" s="11"/>
      <c r="M35" s="3"/>
      <c r="N35" s="3"/>
    </row>
    <row r="36" customFormat="false" ht="15" hidden="false" customHeight="false" outlineLevel="0" collapsed="false">
      <c r="A36" s="3"/>
      <c r="B36" s="3"/>
      <c r="C36" s="11"/>
      <c r="D36" s="12" t="s">
        <v>20</v>
      </c>
      <c r="E36" s="13" t="s">
        <v>21</v>
      </c>
      <c r="F36" s="13"/>
      <c r="G36" s="13"/>
      <c r="H36" s="13"/>
      <c r="I36" s="13"/>
      <c r="J36" s="13"/>
      <c r="K36" s="11"/>
      <c r="L36" s="11"/>
      <c r="M36" s="3"/>
      <c r="N36" s="3"/>
    </row>
    <row r="37" customFormat="false" ht="15" hidden="false" customHeight="false" outlineLevel="0" collapsed="false">
      <c r="A37" s="3"/>
      <c r="B37" s="3"/>
      <c r="C37" s="11"/>
      <c r="D37" s="12" t="s">
        <v>22</v>
      </c>
      <c r="E37" s="13" t="s">
        <v>23</v>
      </c>
      <c r="F37" s="13"/>
      <c r="G37" s="13"/>
      <c r="H37" s="13"/>
      <c r="I37" s="13"/>
      <c r="J37" s="13"/>
      <c r="K37" s="11"/>
      <c r="L37" s="11"/>
      <c r="M37" s="3"/>
      <c r="N37" s="3"/>
    </row>
    <row r="38" customFormat="false" ht="15" hidden="false" customHeight="false" outlineLevel="0" collapsed="false">
      <c r="A38" s="3"/>
      <c r="B38" s="3"/>
      <c r="C38" s="11"/>
      <c r="D38" s="12" t="s">
        <v>24</v>
      </c>
      <c r="E38" s="13" t="s">
        <v>25</v>
      </c>
      <c r="F38" s="13"/>
      <c r="G38" s="13"/>
      <c r="H38" s="13"/>
      <c r="I38" s="13"/>
      <c r="J38" s="13"/>
      <c r="K38" s="11"/>
      <c r="L38" s="11"/>
      <c r="M38" s="3"/>
      <c r="N38" s="3"/>
    </row>
    <row r="39" customFormat="false" ht="15" hidden="false" customHeight="false" outlineLevel="0" collapsed="false">
      <c r="A39" s="3"/>
      <c r="B39" s="3"/>
      <c r="C39" s="11"/>
      <c r="D39" s="12" t="s">
        <v>26</v>
      </c>
      <c r="E39" s="13" t="s">
        <v>27</v>
      </c>
      <c r="F39" s="13"/>
      <c r="G39" s="13"/>
      <c r="H39" s="13"/>
      <c r="I39" s="13"/>
      <c r="J39" s="13"/>
      <c r="K39" s="11"/>
      <c r="L39" s="11"/>
      <c r="M39" s="3"/>
      <c r="N39" s="3"/>
    </row>
    <row r="40" customFormat="false" ht="15" hidden="false" customHeight="false" outlineLevel="0" collapsed="false">
      <c r="A40" s="3"/>
      <c r="B40" s="3"/>
      <c r="C40" s="11"/>
      <c r="D40" s="12" t="s">
        <v>28</v>
      </c>
      <c r="E40" s="13" t="s">
        <v>29</v>
      </c>
      <c r="F40" s="13"/>
      <c r="G40" s="13"/>
      <c r="H40" s="13"/>
      <c r="I40" s="13"/>
      <c r="J40" s="13"/>
      <c r="K40" s="11"/>
      <c r="L40" s="11"/>
      <c r="M40" s="3"/>
      <c r="N40" s="3"/>
    </row>
    <row r="41" customFormat="false" ht="15" hidden="false" customHeight="false" outlineLevel="0" collapsed="false">
      <c r="A41" s="3"/>
      <c r="B41" s="3"/>
      <c r="C41" s="11"/>
      <c r="D41" s="12" t="s">
        <v>30</v>
      </c>
      <c r="E41" s="13" t="s">
        <v>31</v>
      </c>
      <c r="F41" s="13"/>
      <c r="G41" s="13"/>
      <c r="H41" s="13"/>
      <c r="I41" s="13"/>
      <c r="J41" s="13"/>
      <c r="K41" s="11"/>
      <c r="L41" s="11"/>
      <c r="M41" s="3"/>
      <c r="N41" s="3"/>
    </row>
    <row r="42" customFormat="false" ht="15" hidden="false" customHeight="false" outlineLevel="0" collapsed="false">
      <c r="A42" s="3"/>
      <c r="B42" s="3"/>
      <c r="C42" s="11"/>
      <c r="D42" s="12" t="s">
        <v>32</v>
      </c>
      <c r="E42" s="13" t="s">
        <v>33</v>
      </c>
      <c r="F42" s="13"/>
      <c r="G42" s="13"/>
      <c r="H42" s="13"/>
      <c r="I42" s="13"/>
      <c r="J42" s="13"/>
      <c r="K42" s="11"/>
      <c r="L42" s="11"/>
      <c r="M42" s="3"/>
      <c r="N42" s="3"/>
    </row>
    <row r="43" customFormat="false" ht="15" hidden="false" customHeight="false" outlineLevel="0" collapsed="false">
      <c r="A43" s="3"/>
      <c r="B43" s="3"/>
      <c r="C43" s="11"/>
      <c r="D43" s="12" t="s">
        <v>34</v>
      </c>
      <c r="E43" s="13" t="s">
        <v>35</v>
      </c>
      <c r="F43" s="13"/>
      <c r="G43" s="13"/>
      <c r="H43" s="13"/>
      <c r="I43" s="13"/>
      <c r="J43" s="13"/>
      <c r="K43" s="11"/>
      <c r="L43" s="11"/>
      <c r="M43" s="3"/>
      <c r="N43" s="3"/>
    </row>
    <row r="44" customFormat="false" ht="15" hidden="false" customHeight="false" outlineLevel="0" collapsed="false">
      <c r="A44" s="3"/>
      <c r="B44" s="3"/>
      <c r="C44" s="3"/>
      <c r="D44" s="3"/>
      <c r="E44" s="3"/>
      <c r="F44" s="3"/>
      <c r="G44" s="3"/>
      <c r="H44" s="3"/>
      <c r="I44" s="3"/>
      <c r="J44" s="3"/>
      <c r="K44" s="3"/>
      <c r="L44" s="3"/>
      <c r="M44" s="3"/>
      <c r="N44" s="3"/>
    </row>
    <row r="45" customFormat="false" ht="15" hidden="false" customHeight="false" outlineLevel="0" collapsed="false">
      <c r="A45" s="3"/>
      <c r="B45" s="3"/>
      <c r="C45" s="3"/>
      <c r="D45" s="3"/>
      <c r="E45" s="3"/>
      <c r="F45" s="3"/>
      <c r="G45" s="3"/>
      <c r="H45" s="3"/>
      <c r="I45" s="3"/>
      <c r="J45" s="3"/>
      <c r="K45" s="3"/>
      <c r="L45" s="3"/>
      <c r="M45" s="3"/>
      <c r="N45" s="3"/>
    </row>
    <row r="46" customFormat="false" ht="15" hidden="false" customHeight="false" outlineLevel="0" collapsed="false">
      <c r="A46" s="1"/>
      <c r="B46" s="14" t="s">
        <v>36</v>
      </c>
      <c r="C46" s="14"/>
      <c r="D46" s="14"/>
      <c r="E46" s="14"/>
      <c r="F46" s="14"/>
      <c r="G46" s="14"/>
      <c r="H46" s="14"/>
      <c r="I46" s="14"/>
      <c r="J46" s="14"/>
      <c r="K46" s="14"/>
      <c r="L46" s="14"/>
      <c r="M46" s="14"/>
      <c r="N46" s="14"/>
    </row>
    <row r="47" customFormat="false" ht="15" hidden="false" customHeight="false" outlineLevel="0" collapsed="false">
      <c r="A47" s="1"/>
      <c r="B47" s="1"/>
      <c r="C47" s="1"/>
      <c r="D47" s="1"/>
      <c r="E47" s="1"/>
      <c r="F47" s="1"/>
      <c r="G47" s="1"/>
      <c r="H47" s="1"/>
      <c r="I47" s="1"/>
      <c r="J47" s="1"/>
      <c r="K47" s="1"/>
      <c r="L47" s="1"/>
      <c r="M47" s="1"/>
      <c r="N47" s="1"/>
    </row>
    <row r="48" customFormat="false" ht="15" hidden="false" customHeight="false" outlineLevel="0" collapsed="false">
      <c r="A48" s="1"/>
      <c r="B48" s="1"/>
      <c r="C48" s="1"/>
      <c r="D48" s="1"/>
      <c r="E48" s="1"/>
      <c r="F48" s="1"/>
      <c r="G48" s="1"/>
      <c r="H48" s="1"/>
      <c r="I48" s="1"/>
      <c r="J48" s="1"/>
      <c r="K48" s="1"/>
      <c r="L48" s="1"/>
      <c r="M48" s="1"/>
      <c r="N48" s="1"/>
    </row>
  </sheetData>
  <mergeCells count="22">
    <mergeCell ref="B7:N7"/>
    <mergeCell ref="B9:N9"/>
    <mergeCell ref="B14:N14"/>
    <mergeCell ref="B16:N16"/>
    <mergeCell ref="F19:I23"/>
    <mergeCell ref="C27:L27"/>
    <mergeCell ref="E29:J29"/>
    <mergeCell ref="E30:J30"/>
    <mergeCell ref="E31:J31"/>
    <mergeCell ref="E32:J32"/>
    <mergeCell ref="E33:J33"/>
    <mergeCell ref="E34:J34"/>
    <mergeCell ref="E35:J35"/>
    <mergeCell ref="E36:J36"/>
    <mergeCell ref="E37:J37"/>
    <mergeCell ref="E38:J38"/>
    <mergeCell ref="E39:J39"/>
    <mergeCell ref="E40:J40"/>
    <mergeCell ref="E41:J41"/>
    <mergeCell ref="E42:J42"/>
    <mergeCell ref="E43:J43"/>
    <mergeCell ref="B46:N46"/>
  </mergeCells>
  <hyperlinks>
    <hyperlink ref="E29" r:id="rId1" location="'README'!A1" display="How to Use This Model (README)"/>
    <hyperlink ref="E30" r:id="rId2" location="'Dashboard'!A1" display="Executive Dashboard"/>
    <hyperlink ref="E31" r:id="rId3" location="'Scenarios'!A1" display="Scenario Analysis"/>
    <hyperlink ref="E32" r:id="rId4" location="'Assumptions'!A1" display="Key Assumptions &amp; Drivers"/>
    <hyperlink ref="E33" r:id="rId5" location="'Revenue%20Build'!A1" display="Revenue Build (by Segment)"/>
    <hyperlink ref="E34" r:id="rId6" location="'Income%20Statement'!A1" display="Income Statement"/>
    <hyperlink ref="E35" r:id="rId7" location="'Working%20Capital'!A1" display="Working Capital Schedule"/>
    <hyperlink ref="E36" r:id="rId8" location="'Debt%20Schedule'!A1" display="Debt Schedule"/>
    <hyperlink ref="E37" r:id="rId9" location="'Balance%20Sheet'!A1" display="Balance Sheet"/>
    <hyperlink ref="E38" r:id="rId10" location="'Cash%20Flow'!A1" display="Cash Flow Statement"/>
    <hyperlink ref="E39" r:id="rId11" location="'DCF%20Valuation'!A1" display="DCF Valuation"/>
    <hyperlink ref="E40" r:id="rId12" location="'Comparables'!A1" display="Comparable Company Valuation"/>
    <hyperlink ref="E41" r:id="rId13" location="'Sensitivity'!A1" display="Sensitivity Analysis"/>
    <hyperlink ref="E42" r:id="rId14" location="'Econometrics'!A1" display="Econometrics &amp; Regression Lab"/>
    <hyperlink ref="E43" r:id="rId15" location="'Checks'!A1" display="Model Integrity Checks"/>
  </hyperlink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B1D"/>
    <pageSetUpPr fitToPage="true"/>
  </sheetPr>
  <dimension ref="A1:M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4"/>
    <col collapsed="false" customWidth="true" hidden="false" outlineLevel="0" max="3" min="3" style="0" width="66"/>
  </cols>
  <sheetData>
    <row r="1" customFormat="false" ht="31.5" hidden="false" customHeight="true" outlineLevel="0" collapsed="false">
      <c r="A1" s="15"/>
      <c r="B1" s="16" t="s">
        <v>37</v>
      </c>
      <c r="C1" s="16"/>
      <c r="D1" s="15"/>
      <c r="E1" s="15"/>
      <c r="F1" s="15"/>
      <c r="G1" s="15"/>
      <c r="H1" s="15"/>
      <c r="I1" s="15"/>
      <c r="J1" s="15"/>
      <c r="K1" s="15"/>
      <c r="L1" s="15"/>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3"/>
      <c r="D3" s="3"/>
    </row>
    <row r="4" customFormat="false" ht="15" hidden="false" customHeight="false" outlineLevel="0" collapsed="false">
      <c r="A4" s="3"/>
      <c r="B4" s="3"/>
      <c r="C4" s="3"/>
      <c r="D4" s="3"/>
    </row>
    <row r="5" customFormat="false" ht="15" hidden="false" customHeight="false" outlineLevel="0" collapsed="false">
      <c r="A5" s="3"/>
      <c r="B5" s="3"/>
      <c r="C5" s="3"/>
      <c r="D5" s="3"/>
    </row>
    <row r="6" customFormat="false" ht="15" hidden="false" customHeight="false" outlineLevel="0" collapsed="false">
      <c r="A6" s="3"/>
      <c r="B6" s="17" t="s">
        <v>38</v>
      </c>
      <c r="C6" s="17"/>
      <c r="D6" s="3"/>
    </row>
    <row r="7" customFormat="false" ht="15" hidden="false" customHeight="false" outlineLevel="0" collapsed="false">
      <c r="A7" s="3"/>
      <c r="B7" s="3"/>
      <c r="C7" s="3"/>
      <c r="D7" s="3"/>
    </row>
    <row r="8" customFormat="false" ht="15" hidden="false" customHeight="false" outlineLevel="0" collapsed="false">
      <c r="A8" s="3"/>
      <c r="B8" s="18" t="s">
        <v>39</v>
      </c>
      <c r="C8" s="19" t="s">
        <v>40</v>
      </c>
      <c r="D8" s="3"/>
    </row>
    <row r="9" customFormat="false" ht="15" hidden="false" customHeight="false" outlineLevel="0" collapsed="false">
      <c r="A9" s="3"/>
      <c r="B9" s="18" t="s">
        <v>41</v>
      </c>
      <c r="C9" s="19" t="s">
        <v>42</v>
      </c>
      <c r="D9" s="3"/>
    </row>
    <row r="10" customFormat="false" ht="15" hidden="false" customHeight="false" outlineLevel="0" collapsed="false">
      <c r="A10" s="3"/>
      <c r="B10" s="18" t="s">
        <v>43</v>
      </c>
      <c r="C10" s="19" t="s">
        <v>44</v>
      </c>
      <c r="D10" s="3"/>
    </row>
    <row r="11" customFormat="false" ht="15" hidden="false" customHeight="false" outlineLevel="0" collapsed="false">
      <c r="A11" s="3"/>
      <c r="B11" s="18" t="s">
        <v>45</v>
      </c>
      <c r="C11" s="19" t="s">
        <v>46</v>
      </c>
      <c r="D11" s="3"/>
    </row>
    <row r="12" customFormat="false" ht="15" hidden="false" customHeight="false" outlineLevel="0" collapsed="false">
      <c r="A12" s="3"/>
      <c r="B12" s="3"/>
      <c r="C12" s="3"/>
      <c r="D12" s="3"/>
    </row>
    <row r="13" customFormat="false" ht="21.75" hidden="false" customHeight="true" outlineLevel="0" collapsed="false">
      <c r="A13" s="3"/>
      <c r="B13" s="20" t="s">
        <v>47</v>
      </c>
      <c r="C13" s="15"/>
      <c r="D13" s="3"/>
    </row>
    <row r="14" customFormat="false" ht="18" hidden="false" customHeight="true" outlineLevel="0" collapsed="false">
      <c r="A14" s="3"/>
      <c r="B14" s="21" t="s">
        <v>48</v>
      </c>
      <c r="C14" s="21"/>
      <c r="D14" s="3"/>
    </row>
    <row r="15" customFormat="false" ht="15" hidden="false" customHeight="false" outlineLevel="0" collapsed="false">
      <c r="A15" s="3"/>
      <c r="B15" s="21"/>
      <c r="C15" s="21"/>
      <c r="D15" s="3"/>
    </row>
    <row r="16" customFormat="false" ht="15" hidden="false" customHeight="false" outlineLevel="0" collapsed="false">
      <c r="A16" s="3"/>
      <c r="B16" s="21"/>
      <c r="C16" s="21"/>
      <c r="D16" s="3"/>
    </row>
    <row r="17" customFormat="false" ht="15" hidden="false" customHeight="false" outlineLevel="0" collapsed="false">
      <c r="A17" s="3"/>
      <c r="B17" s="21"/>
      <c r="C17" s="21"/>
      <c r="D17" s="3"/>
    </row>
    <row r="18" customFormat="false" ht="15" hidden="false" customHeight="false" outlineLevel="0" collapsed="false">
      <c r="A18" s="3"/>
      <c r="B18" s="3"/>
      <c r="C18" s="3"/>
      <c r="D18" s="3"/>
    </row>
    <row r="19" customFormat="false" ht="21.75" hidden="false" customHeight="true" outlineLevel="0" collapsed="false">
      <c r="A19" s="3"/>
      <c r="B19" s="20" t="s">
        <v>49</v>
      </c>
      <c r="C19" s="15"/>
      <c r="D19" s="3"/>
    </row>
    <row r="20" customFormat="false" ht="27.75" hidden="false" customHeight="true" outlineLevel="0" collapsed="false">
      <c r="A20" s="3"/>
      <c r="B20" s="22" t="s">
        <v>50</v>
      </c>
      <c r="C20" s="23" t="s">
        <v>51</v>
      </c>
      <c r="D20" s="3"/>
    </row>
    <row r="21" customFormat="false" ht="27.75" hidden="false" customHeight="true" outlineLevel="0" collapsed="false">
      <c r="A21" s="3"/>
      <c r="B21" s="24" t="s">
        <v>52</v>
      </c>
      <c r="C21" s="23" t="s">
        <v>53</v>
      </c>
      <c r="D21" s="3"/>
    </row>
    <row r="22" customFormat="false" ht="27.75" hidden="false" customHeight="true" outlineLevel="0" collapsed="false">
      <c r="A22" s="3"/>
      <c r="B22" s="25" t="s">
        <v>54</v>
      </c>
      <c r="C22" s="23" t="s">
        <v>55</v>
      </c>
      <c r="D22" s="3"/>
    </row>
    <row r="23" customFormat="false" ht="27.75" hidden="false" customHeight="true" outlineLevel="0" collapsed="false">
      <c r="A23" s="3"/>
      <c r="B23" s="26" t="s">
        <v>56</v>
      </c>
      <c r="C23" s="23" t="s">
        <v>57</v>
      </c>
      <c r="D23" s="3"/>
    </row>
    <row r="24" customFormat="false" ht="15" hidden="false" customHeight="false" outlineLevel="0" collapsed="false">
      <c r="A24" s="3"/>
      <c r="B24" s="3"/>
      <c r="C24" s="3"/>
      <c r="D24" s="3"/>
    </row>
    <row r="25" customFormat="false" ht="21.75" hidden="false" customHeight="true" outlineLevel="0" collapsed="false">
      <c r="A25" s="3"/>
      <c r="B25" s="20" t="s">
        <v>58</v>
      </c>
      <c r="C25" s="15"/>
      <c r="D25" s="3"/>
    </row>
    <row r="26" customFormat="false" ht="24" hidden="false" customHeight="true" outlineLevel="0" collapsed="false">
      <c r="A26" s="3"/>
      <c r="B26" s="27" t="s">
        <v>59</v>
      </c>
      <c r="C26" s="23" t="s">
        <v>60</v>
      </c>
      <c r="D26" s="3"/>
    </row>
    <row r="27" customFormat="false" ht="24" hidden="false" customHeight="true" outlineLevel="0" collapsed="false">
      <c r="A27" s="3"/>
      <c r="B27" s="27" t="s">
        <v>61</v>
      </c>
      <c r="C27" s="23" t="s">
        <v>62</v>
      </c>
      <c r="D27" s="3"/>
    </row>
    <row r="28" customFormat="false" ht="24" hidden="false" customHeight="true" outlineLevel="0" collapsed="false">
      <c r="A28" s="3"/>
      <c r="B28" s="27" t="s">
        <v>63</v>
      </c>
      <c r="C28" s="23" t="s">
        <v>64</v>
      </c>
      <c r="D28" s="3"/>
    </row>
    <row r="29" customFormat="false" ht="24" hidden="false" customHeight="true" outlineLevel="0" collapsed="false">
      <c r="A29" s="3"/>
      <c r="B29" s="27" t="s">
        <v>65</v>
      </c>
      <c r="C29" s="23" t="s">
        <v>66</v>
      </c>
      <c r="D29" s="3"/>
    </row>
    <row r="30" customFormat="false" ht="24" hidden="false" customHeight="true" outlineLevel="0" collapsed="false">
      <c r="A30" s="3"/>
      <c r="B30" s="27" t="s">
        <v>67</v>
      </c>
      <c r="C30" s="23" t="s">
        <v>68</v>
      </c>
      <c r="D30" s="3"/>
    </row>
    <row r="31" customFormat="false" ht="24" hidden="false" customHeight="true" outlineLevel="0" collapsed="false">
      <c r="A31" s="3"/>
      <c r="B31" s="27" t="s">
        <v>69</v>
      </c>
      <c r="C31" s="23" t="s">
        <v>70</v>
      </c>
      <c r="D31" s="3"/>
    </row>
    <row r="32" customFormat="false" ht="24" hidden="false" customHeight="true" outlineLevel="0" collapsed="false">
      <c r="A32" s="3"/>
      <c r="B32" s="27" t="s">
        <v>71</v>
      </c>
      <c r="C32" s="23" t="s">
        <v>72</v>
      </c>
      <c r="D32" s="3"/>
    </row>
    <row r="33" customFormat="false" ht="24" hidden="false" customHeight="true" outlineLevel="0" collapsed="false">
      <c r="A33" s="3"/>
      <c r="B33" s="27" t="s">
        <v>73</v>
      </c>
      <c r="C33" s="23" t="s">
        <v>74</v>
      </c>
      <c r="D33" s="3"/>
    </row>
    <row r="34" customFormat="false" ht="24" hidden="false" customHeight="true" outlineLevel="0" collapsed="false">
      <c r="A34" s="3"/>
      <c r="B34" s="27" t="s">
        <v>75</v>
      </c>
      <c r="C34" s="23" t="s">
        <v>76</v>
      </c>
      <c r="D34" s="3"/>
    </row>
    <row r="35" customFormat="false" ht="15" hidden="false" customHeight="false" outlineLevel="0" collapsed="false">
      <c r="A35" s="3"/>
      <c r="B35" s="3"/>
      <c r="C35" s="3"/>
      <c r="D35" s="3"/>
    </row>
    <row r="36" customFormat="false" ht="21.75" hidden="false" customHeight="true" outlineLevel="0" collapsed="false">
      <c r="A36" s="3"/>
      <c r="B36" s="20" t="s">
        <v>77</v>
      </c>
      <c r="C36" s="15"/>
      <c r="D36" s="3"/>
    </row>
    <row r="37" customFormat="false" ht="15" hidden="false" customHeight="true" outlineLevel="0" collapsed="false">
      <c r="A37" s="3"/>
      <c r="B37" s="21" t="s">
        <v>78</v>
      </c>
      <c r="C37" s="21"/>
      <c r="D37" s="3"/>
    </row>
    <row r="38" customFormat="false" ht="15" hidden="false" customHeight="false" outlineLevel="0" collapsed="false">
      <c r="A38" s="3"/>
      <c r="B38" s="21"/>
      <c r="C38" s="21"/>
      <c r="D38" s="3"/>
    </row>
    <row r="39" customFormat="false" ht="15" hidden="false" customHeight="false" outlineLevel="0" collapsed="false">
      <c r="A39" s="3"/>
      <c r="B39" s="21"/>
      <c r="C39" s="21"/>
      <c r="D39" s="3"/>
    </row>
    <row r="40" customFormat="false" ht="15" hidden="false" customHeight="false" outlineLevel="0" collapsed="false">
      <c r="A40" s="3"/>
      <c r="B40" s="3"/>
      <c r="C40" s="3"/>
      <c r="D40" s="3"/>
    </row>
    <row r="41" customFormat="false" ht="21.75" hidden="false" customHeight="true" outlineLevel="0" collapsed="false">
      <c r="A41" s="3"/>
      <c r="B41" s="20" t="s">
        <v>79</v>
      </c>
      <c r="C41" s="15"/>
      <c r="D41" s="3"/>
    </row>
    <row r="42" customFormat="false" ht="15" hidden="false" customHeight="false" outlineLevel="0" collapsed="false">
      <c r="A42" s="3"/>
      <c r="B42" s="28" t="s">
        <v>80</v>
      </c>
      <c r="C42" s="19" t="s">
        <v>81</v>
      </c>
      <c r="D42" s="3"/>
    </row>
    <row r="43" customFormat="false" ht="15" hidden="false" customHeight="false" outlineLevel="0" collapsed="false">
      <c r="A43" s="3"/>
      <c r="B43" s="28" t="s">
        <v>82</v>
      </c>
      <c r="C43" s="19" t="s">
        <v>83</v>
      </c>
      <c r="D43" s="3"/>
    </row>
    <row r="44" customFormat="false" ht="15" hidden="false" customHeight="false" outlineLevel="0" collapsed="false">
      <c r="A44" s="3"/>
      <c r="B44" s="28" t="s">
        <v>84</v>
      </c>
      <c r="C44" s="19" t="s">
        <v>85</v>
      </c>
      <c r="D44" s="3"/>
    </row>
    <row r="45" customFormat="false" ht="15" hidden="false" customHeight="false" outlineLevel="0" collapsed="false">
      <c r="A45" s="3"/>
      <c r="B45" s="28" t="s">
        <v>86</v>
      </c>
      <c r="C45" s="19" t="s">
        <v>87</v>
      </c>
      <c r="D45" s="3"/>
    </row>
    <row r="46" customFormat="false" ht="15" hidden="false" customHeight="false" outlineLevel="0" collapsed="false">
      <c r="A46" s="3"/>
      <c r="B46" s="28" t="s">
        <v>88</v>
      </c>
      <c r="C46" s="19" t="s">
        <v>89</v>
      </c>
      <c r="D46" s="3"/>
    </row>
    <row r="47" customFormat="false" ht="15" hidden="false" customHeight="false" outlineLevel="0" collapsed="false">
      <c r="A47" s="3"/>
      <c r="B47" s="28" t="s">
        <v>90</v>
      </c>
      <c r="C47" s="19" t="s">
        <v>91</v>
      </c>
      <c r="D47" s="3"/>
    </row>
    <row r="48" customFormat="false" ht="15" hidden="false" customHeight="false" outlineLevel="0" collapsed="false">
      <c r="A48" s="3"/>
      <c r="B48" s="3"/>
      <c r="C48" s="3"/>
      <c r="D48" s="3"/>
    </row>
    <row r="49" customFormat="false" ht="21.75" hidden="false" customHeight="true" outlineLevel="0" collapsed="false">
      <c r="A49" s="3"/>
      <c r="B49" s="20" t="s">
        <v>92</v>
      </c>
      <c r="C49" s="15"/>
      <c r="D49" s="3"/>
    </row>
    <row r="50" customFormat="false" ht="15" hidden="false" customHeight="true" outlineLevel="0" collapsed="false">
      <c r="A50" s="3"/>
      <c r="B50" s="29" t="s">
        <v>93</v>
      </c>
      <c r="C50" s="29"/>
      <c r="D50" s="3"/>
    </row>
    <row r="51" customFormat="false" ht="15" hidden="false" customHeight="false" outlineLevel="0" collapsed="false">
      <c r="A51" s="3"/>
      <c r="B51" s="29"/>
      <c r="C51" s="29"/>
      <c r="D51" s="3"/>
    </row>
    <row r="52" customFormat="false" ht="15" hidden="false" customHeight="false" outlineLevel="0" collapsed="false">
      <c r="A52" s="3"/>
      <c r="B52" s="29"/>
      <c r="C52" s="29"/>
      <c r="D52" s="3"/>
    </row>
    <row r="53" customFormat="false" ht="15" hidden="false" customHeight="false" outlineLevel="0" collapsed="false">
      <c r="A53" s="3"/>
      <c r="B53" s="29"/>
      <c r="C53" s="29"/>
      <c r="D53" s="3"/>
    </row>
    <row r="54" customFormat="false" ht="15" hidden="false" customHeight="false" outlineLevel="0" collapsed="false">
      <c r="A54" s="3"/>
      <c r="B54" s="3"/>
      <c r="C54" s="3"/>
      <c r="D54" s="3"/>
    </row>
    <row r="55" customFormat="false" ht="15" hidden="false" customHeight="false" outlineLevel="0" collapsed="false">
      <c r="A55" s="3"/>
      <c r="B55" s="3"/>
      <c r="C55" s="3"/>
      <c r="D55" s="3"/>
    </row>
    <row r="56" customFormat="false" ht="15" hidden="false" customHeight="false" outlineLevel="0" collapsed="false">
      <c r="A56" s="3"/>
      <c r="B56" s="3"/>
      <c r="C56" s="3"/>
      <c r="D56" s="3"/>
    </row>
    <row r="57" customFormat="false" ht="15" hidden="false" customHeight="false" outlineLevel="0" collapsed="false">
      <c r="A57" s="3"/>
      <c r="B57" s="3"/>
      <c r="C57" s="3"/>
      <c r="D57" s="3"/>
    </row>
  </sheetData>
  <mergeCells count="5">
    <mergeCell ref="B1:C1"/>
    <mergeCell ref="B6:C6"/>
    <mergeCell ref="B14:C17"/>
    <mergeCell ref="B37:C39"/>
    <mergeCell ref="B50:C53"/>
  </mergeCells>
  <hyperlinks>
    <hyperlink ref="B26" r:id="rId1" location="'Scenarios'!A1" display="▸ Scenarios"/>
    <hyperlink ref="B27" r:id="rId2" location="'Assumptions'!A1" display="▸ Assumptions"/>
    <hyperlink ref="B28" r:id="rId3" location="'Revenue%20Build'!A1" display="▸ Revenue Build"/>
    <hyperlink ref="B29" r:id="rId4" location="'Income%20Statement'!A1" display="▸ Income Statement"/>
    <hyperlink ref="B30" r:id="rId5" location="'Working%20Capital'!A1" display="▸ Working Capital / Debt Schedule"/>
    <hyperlink ref="B31" r:id="rId6" location="'Balance%20Sheet'!A1" display="▸ Balance Sheet / Cash Flow"/>
    <hyperlink ref="B32" r:id="rId7" location="'DCF%20Valuation'!A1" display="▸ DCF Valuation / Comparables"/>
    <hyperlink ref="B33" r:id="rId8" location="'Sensitivity'!A1" display="▸ Sensitivity / Econometrics"/>
    <hyperlink ref="B34" r:id="rId9" location="'Checks'!A1" display="▸ Checks"/>
  </hyperlink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60B"/>
    <pageSetUpPr fitToPage="true"/>
  </sheetPr>
  <dimension ref="A1:T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14" min="2" style="0" width="15"/>
  </cols>
  <sheetData>
    <row r="1" customFormat="false" ht="31.5" hidden="false" customHeight="true" outlineLevel="0" collapsed="false">
      <c r="A1" s="15"/>
      <c r="B1" s="16" t="s">
        <v>94</v>
      </c>
      <c r="C1" s="16"/>
      <c r="D1" s="16"/>
      <c r="E1" s="16"/>
      <c r="F1" s="16"/>
      <c r="G1" s="16"/>
      <c r="H1" s="16"/>
      <c r="I1" s="16"/>
      <c r="J1" s="16"/>
      <c r="K1" s="16"/>
      <c r="L1" s="16"/>
      <c r="M1" s="16"/>
      <c r="N1" s="16"/>
      <c r="O1" s="3"/>
      <c r="P1" s="3"/>
      <c r="Q1" s="3"/>
      <c r="R1" s="3"/>
      <c r="S1" s="3"/>
      <c r="T1" s="3"/>
    </row>
    <row r="2" customFormat="false" ht="3.75" hidden="false" customHeight="true" outlineLevel="0" collapsed="false">
      <c r="A2" s="2"/>
      <c r="B2" s="2"/>
      <c r="C2" s="2"/>
      <c r="D2" s="2"/>
      <c r="E2" s="2"/>
      <c r="F2" s="2"/>
      <c r="G2" s="2"/>
      <c r="H2" s="2"/>
      <c r="I2" s="2"/>
      <c r="J2" s="2"/>
      <c r="K2" s="2"/>
      <c r="L2" s="2"/>
      <c r="M2" s="2"/>
      <c r="N2" s="3"/>
      <c r="O2" s="3"/>
      <c r="P2" s="3"/>
      <c r="Q2" s="3"/>
      <c r="R2" s="3"/>
      <c r="S2" s="3"/>
      <c r="T2" s="3"/>
    </row>
    <row r="3" customFormat="false" ht="15" hidden="false" customHeight="false" outlineLevel="0" collapsed="false">
      <c r="A3" s="3"/>
      <c r="B3" s="30" t="s">
        <v>95</v>
      </c>
      <c r="C3" s="3"/>
      <c r="D3" s="3"/>
      <c r="E3" s="3"/>
      <c r="F3" s="3"/>
      <c r="G3" s="3"/>
      <c r="H3" s="3"/>
      <c r="I3" s="3"/>
      <c r="J3" s="3"/>
      <c r="K3" s="3"/>
      <c r="L3" s="3"/>
      <c r="M3" s="3"/>
      <c r="N3" s="3"/>
      <c r="O3" s="3"/>
      <c r="P3" s="3"/>
      <c r="Q3" s="3"/>
      <c r="R3" s="3"/>
      <c r="S3" s="3"/>
      <c r="T3" s="3"/>
    </row>
    <row r="4" customFormat="false" ht="15" hidden="false" customHeight="false" outlineLevel="0" collapsed="false">
      <c r="A4" s="3"/>
      <c r="B4" s="3"/>
      <c r="C4" s="3"/>
      <c r="D4" s="3"/>
      <c r="E4" s="3"/>
      <c r="F4" s="3"/>
      <c r="G4" s="3"/>
      <c r="H4" s="3"/>
      <c r="I4" s="3"/>
      <c r="J4" s="3"/>
      <c r="K4" s="3"/>
      <c r="L4" s="3"/>
      <c r="M4" s="3"/>
      <c r="N4" s="3"/>
      <c r="O4" s="3"/>
      <c r="P4" s="3"/>
      <c r="Q4" s="3"/>
      <c r="R4" s="3"/>
      <c r="S4" s="3"/>
      <c r="T4" s="3"/>
    </row>
    <row r="5" customFormat="false" ht="15" hidden="false" customHeight="false" outlineLevel="0" collapsed="false">
      <c r="A5" s="3"/>
      <c r="B5" s="3"/>
      <c r="C5" s="3"/>
      <c r="D5" s="3"/>
      <c r="E5" s="3"/>
      <c r="F5" s="3"/>
      <c r="G5" s="3"/>
      <c r="H5" s="3"/>
      <c r="I5" s="3"/>
      <c r="J5" s="3"/>
      <c r="K5" s="3"/>
      <c r="L5" s="3"/>
      <c r="M5" s="3"/>
      <c r="N5" s="3"/>
      <c r="O5" s="3"/>
      <c r="P5" s="3"/>
      <c r="Q5" s="3"/>
      <c r="R5" s="3"/>
      <c r="S5" s="3"/>
      <c r="T5" s="3"/>
    </row>
    <row r="6" customFormat="false" ht="15" hidden="false" customHeight="false" outlineLevel="0" collapsed="false">
      <c r="A6" s="3"/>
      <c r="B6" s="31" t="s">
        <v>96</v>
      </c>
      <c r="C6" s="3"/>
      <c r="D6" s="3"/>
      <c r="E6" s="3"/>
      <c r="F6" s="3"/>
      <c r="G6" s="3"/>
      <c r="H6" s="3"/>
      <c r="I6" s="3"/>
      <c r="J6" s="3"/>
      <c r="K6" s="3"/>
      <c r="L6" s="3"/>
      <c r="M6" s="3"/>
      <c r="N6" s="3"/>
      <c r="O6" s="3"/>
      <c r="P6" s="3"/>
      <c r="Q6" s="3"/>
      <c r="R6" s="3"/>
      <c r="S6" s="3"/>
      <c r="T6" s="3"/>
    </row>
    <row r="7" customFormat="false" ht="15" hidden="false" customHeight="false" outlineLevel="0" collapsed="false">
      <c r="A7" s="3"/>
      <c r="B7" s="3"/>
      <c r="C7" s="3"/>
      <c r="D7" s="3"/>
      <c r="E7" s="3"/>
      <c r="F7" s="3"/>
      <c r="G7" s="3"/>
      <c r="H7" s="3"/>
      <c r="I7" s="3"/>
      <c r="J7" s="3"/>
      <c r="K7" s="3"/>
      <c r="L7" s="3"/>
      <c r="M7" s="3"/>
      <c r="N7" s="3"/>
      <c r="O7" s="3"/>
      <c r="P7" s="3"/>
      <c r="Q7" s="3"/>
      <c r="R7" s="3"/>
      <c r="S7" s="3"/>
      <c r="T7" s="3"/>
    </row>
    <row r="8" customFormat="false" ht="24" hidden="false" customHeight="true" outlineLevel="0" collapsed="false">
      <c r="A8" s="3"/>
      <c r="B8" s="32" t="s">
        <v>97</v>
      </c>
      <c r="C8" s="32"/>
      <c r="D8" s="32"/>
      <c r="E8" s="3"/>
      <c r="F8" s="32" t="s">
        <v>98</v>
      </c>
      <c r="G8" s="32"/>
      <c r="H8" s="32"/>
      <c r="I8" s="3"/>
      <c r="J8" s="32" t="s">
        <v>99</v>
      </c>
      <c r="K8" s="32"/>
      <c r="L8" s="32"/>
      <c r="M8" s="3"/>
      <c r="N8" s="32" t="s">
        <v>100</v>
      </c>
      <c r="O8" s="32"/>
      <c r="P8" s="32"/>
      <c r="Q8" s="3"/>
      <c r="R8" s="32" t="s">
        <v>101</v>
      </c>
      <c r="S8" s="32"/>
      <c r="T8" s="32"/>
    </row>
    <row r="9" customFormat="false" ht="15" hidden="false" customHeight="false" outlineLevel="0" collapsed="false">
      <c r="A9" s="3"/>
      <c r="B9" s="33" t="n">
        <f aca="false">'Income Statement'!L6</f>
        <v>491199.410111353</v>
      </c>
      <c r="C9" s="33"/>
      <c r="D9" s="33"/>
      <c r="E9" s="3"/>
      <c r="F9" s="33" t="n">
        <f aca="false">'Income Statement'!L12</f>
        <v>140483.031291847</v>
      </c>
      <c r="G9" s="33"/>
      <c r="H9" s="33"/>
      <c r="I9" s="3"/>
      <c r="J9" s="33" t="n">
        <f aca="false">'Income Statement'!L22</f>
        <v>92298.0110245263</v>
      </c>
      <c r="K9" s="33"/>
      <c r="L9" s="33"/>
      <c r="M9" s="3"/>
      <c r="N9" s="34" t="n">
        <f aca="false">'Income Statement'!L26</f>
        <v>1.90305177370157</v>
      </c>
      <c r="O9" s="34"/>
      <c r="P9" s="34"/>
      <c r="Q9" s="3"/>
      <c r="R9" s="34" t="n">
        <f aca="false">'DCF Valuation'!C28</f>
        <v>25.247626402072</v>
      </c>
      <c r="S9" s="34"/>
      <c r="T9" s="34"/>
    </row>
    <row r="10" customFormat="false" ht="15" hidden="false" customHeight="false" outlineLevel="0" collapsed="false">
      <c r="A10" s="3"/>
      <c r="B10" s="33"/>
      <c r="C10" s="33"/>
      <c r="D10" s="33"/>
      <c r="E10" s="3"/>
      <c r="F10" s="33"/>
      <c r="G10" s="33"/>
      <c r="H10" s="33"/>
      <c r="I10" s="3"/>
      <c r="J10" s="33"/>
      <c r="K10" s="33"/>
      <c r="L10" s="33"/>
      <c r="M10" s="3"/>
      <c r="N10" s="34"/>
      <c r="O10" s="34"/>
      <c r="P10" s="34"/>
      <c r="Q10" s="3"/>
      <c r="R10" s="34"/>
      <c r="S10" s="34"/>
      <c r="T10" s="34"/>
    </row>
    <row r="11" customFormat="false" ht="15" hidden="false" customHeight="false" outlineLevel="0" collapsed="false">
      <c r="A11" s="3"/>
      <c r="B11" s="35" t="s">
        <v>102</v>
      </c>
      <c r="C11" s="35"/>
      <c r="D11" s="35"/>
      <c r="E11" s="3"/>
      <c r="F11" s="35" t="s">
        <v>103</v>
      </c>
      <c r="G11" s="35"/>
      <c r="H11" s="35"/>
      <c r="I11" s="3"/>
      <c r="J11" s="35" t="s">
        <v>104</v>
      </c>
      <c r="K11" s="35"/>
      <c r="L11" s="35"/>
      <c r="M11" s="3"/>
      <c r="N11" s="35" t="s">
        <v>105</v>
      </c>
      <c r="O11" s="35"/>
      <c r="P11" s="35"/>
      <c r="Q11" s="3"/>
      <c r="R11" s="35" t="s">
        <v>106</v>
      </c>
      <c r="S11" s="35"/>
      <c r="T11" s="35"/>
    </row>
    <row r="12" customFormat="false" ht="15" hidden="false" customHeight="false" outlineLevel="0" collapsed="false">
      <c r="A12" s="3"/>
      <c r="B12" s="36" t="n">
        <f aca="false">(('Income Statement'!L6/'Income Statement'!G6)^(1/5))-1</f>
        <v>0.0555309727810278</v>
      </c>
      <c r="C12" s="36"/>
      <c r="D12" s="36"/>
      <c r="E12" s="3"/>
      <c r="F12" s="36" t="n">
        <f aca="false">'Income Statement'!L12/'Income Statement'!L6</f>
        <v>0.286</v>
      </c>
      <c r="G12" s="36"/>
      <c r="H12" s="36"/>
      <c r="I12" s="3"/>
      <c r="J12" s="36" t="n">
        <f aca="false">'Income Statement'!L22/'Income Statement'!L6</f>
        <v>0.187903342562245</v>
      </c>
      <c r="K12" s="36"/>
      <c r="L12" s="36"/>
      <c r="M12" s="3"/>
      <c r="N12" s="36" t="n">
        <f aca="false">Assumptions!$C$40</f>
        <v>0.0995351816595274</v>
      </c>
      <c r="O12" s="36"/>
      <c r="P12" s="36"/>
      <c r="Q12" s="3"/>
      <c r="R12" s="37" t="n">
        <f aca="false">Assumptions!$C$35</f>
        <v>1.30852685589835</v>
      </c>
      <c r="S12" s="37"/>
      <c r="T12" s="37"/>
    </row>
    <row r="13" customFormat="false" ht="15" hidden="false" customHeight="false" outlineLevel="0" collapsed="false">
      <c r="A13" s="3"/>
      <c r="B13" s="3"/>
      <c r="C13" s="3"/>
      <c r="D13" s="3"/>
      <c r="E13" s="3"/>
      <c r="F13" s="3"/>
      <c r="G13" s="3"/>
      <c r="H13" s="3"/>
      <c r="I13" s="3"/>
      <c r="J13" s="3"/>
      <c r="K13" s="3"/>
      <c r="L13" s="3"/>
      <c r="M13" s="3"/>
      <c r="N13" s="3"/>
      <c r="O13" s="3"/>
      <c r="P13" s="3"/>
      <c r="Q13" s="3"/>
      <c r="R13" s="3"/>
      <c r="S13" s="3"/>
      <c r="T13" s="3"/>
    </row>
    <row r="14" customFormat="false" ht="15" hidden="false" customHeight="false" outlineLevel="0" collapsed="false">
      <c r="A14" s="3"/>
      <c r="B14" s="3"/>
      <c r="C14" s="3"/>
      <c r="D14" s="3"/>
      <c r="E14" s="3"/>
      <c r="F14" s="3"/>
      <c r="G14" s="3"/>
      <c r="H14" s="3"/>
      <c r="I14" s="3"/>
      <c r="J14" s="3"/>
      <c r="K14" s="3"/>
      <c r="L14" s="3"/>
      <c r="M14" s="3"/>
      <c r="N14" s="3"/>
      <c r="O14" s="3"/>
      <c r="P14" s="3"/>
      <c r="Q14" s="3"/>
      <c r="R14" s="3"/>
      <c r="S14" s="3"/>
      <c r="T14" s="3"/>
    </row>
    <row r="15" customFormat="false" ht="15" hidden="false" customHeight="false" outlineLevel="0" collapsed="false">
      <c r="A15" s="3"/>
      <c r="B15" s="3"/>
      <c r="C15" s="3"/>
      <c r="D15" s="3"/>
      <c r="E15" s="3"/>
      <c r="F15" s="3"/>
      <c r="G15" s="3"/>
      <c r="H15" s="3"/>
      <c r="I15" s="3"/>
      <c r="J15" s="3"/>
      <c r="K15" s="3"/>
      <c r="L15" s="3"/>
      <c r="M15" s="3"/>
      <c r="N15" s="3"/>
      <c r="O15" s="3"/>
      <c r="P15" s="3"/>
      <c r="Q15" s="3"/>
      <c r="R15" s="3"/>
      <c r="S15" s="3"/>
      <c r="T15" s="3"/>
    </row>
    <row r="16" customFormat="false" ht="15" hidden="false" customHeight="false" outlineLevel="0" collapsed="false">
      <c r="A16" s="3"/>
      <c r="B16" s="3"/>
      <c r="C16" s="3"/>
      <c r="D16" s="3"/>
      <c r="E16" s="3"/>
      <c r="F16" s="3"/>
      <c r="G16" s="3"/>
      <c r="H16" s="3"/>
      <c r="I16" s="3"/>
      <c r="J16" s="3"/>
      <c r="K16" s="3"/>
      <c r="L16" s="3"/>
      <c r="M16" s="3"/>
      <c r="N16" s="3"/>
      <c r="O16" s="3"/>
      <c r="P16" s="3"/>
      <c r="Q16" s="3"/>
      <c r="R16" s="3"/>
      <c r="S16" s="3"/>
      <c r="T16" s="3"/>
    </row>
    <row r="17" customFormat="false" ht="15" hidden="false" customHeight="false" outlineLevel="0" collapsed="false">
      <c r="A17" s="3"/>
      <c r="B17" s="3"/>
      <c r="C17" s="3"/>
      <c r="D17" s="3"/>
      <c r="E17" s="3"/>
      <c r="F17" s="3"/>
      <c r="G17" s="3"/>
      <c r="H17" s="3"/>
      <c r="I17" s="3"/>
      <c r="J17" s="3"/>
      <c r="K17" s="3"/>
      <c r="L17" s="3"/>
      <c r="M17" s="3"/>
      <c r="N17" s="3"/>
      <c r="O17" s="3"/>
      <c r="P17" s="3"/>
      <c r="Q17" s="3"/>
      <c r="R17" s="3"/>
      <c r="S17" s="3"/>
      <c r="T17" s="3"/>
    </row>
    <row r="18" customFormat="false" ht="15" hidden="false" customHeight="false" outlineLevel="0" collapsed="false">
      <c r="A18" s="3"/>
      <c r="B18" s="3"/>
      <c r="C18" s="3"/>
      <c r="D18" s="3"/>
      <c r="E18" s="3"/>
      <c r="F18" s="3"/>
      <c r="G18" s="3"/>
      <c r="H18" s="3"/>
      <c r="I18" s="3"/>
      <c r="J18" s="3"/>
      <c r="K18" s="3"/>
      <c r="L18" s="3"/>
      <c r="M18" s="3"/>
      <c r="N18" s="3"/>
      <c r="O18" s="3"/>
      <c r="P18" s="3"/>
      <c r="Q18" s="3"/>
      <c r="R18" s="3"/>
      <c r="S18" s="3"/>
      <c r="T18" s="3"/>
    </row>
    <row r="19" customFormat="false" ht="15" hidden="false" customHeight="false" outlineLevel="0" collapsed="false">
      <c r="A19" s="3"/>
      <c r="B19" s="3"/>
      <c r="C19" s="3"/>
      <c r="D19" s="3"/>
      <c r="E19" s="3"/>
      <c r="F19" s="3"/>
      <c r="G19" s="3"/>
      <c r="H19" s="3"/>
      <c r="I19" s="3"/>
      <c r="J19" s="3"/>
      <c r="K19" s="3"/>
      <c r="L19" s="3"/>
      <c r="M19" s="3"/>
      <c r="N19" s="3"/>
      <c r="O19" s="3"/>
      <c r="P19" s="3"/>
      <c r="Q19" s="3"/>
      <c r="R19" s="3"/>
      <c r="S19" s="3"/>
      <c r="T19" s="3"/>
    </row>
    <row r="20" customFormat="false" ht="15" hidden="false" customHeight="false" outlineLevel="0" collapsed="false">
      <c r="A20" s="3"/>
      <c r="B20" s="3"/>
      <c r="C20" s="3"/>
      <c r="D20" s="3"/>
      <c r="E20" s="3"/>
      <c r="F20" s="3"/>
      <c r="G20" s="3"/>
      <c r="H20" s="3"/>
      <c r="I20" s="3"/>
      <c r="J20" s="3"/>
      <c r="K20" s="3"/>
      <c r="L20" s="3"/>
      <c r="M20" s="3"/>
      <c r="N20" s="3"/>
      <c r="O20" s="3"/>
      <c r="P20" s="3"/>
      <c r="Q20" s="3"/>
      <c r="R20" s="3"/>
      <c r="S20" s="3"/>
      <c r="T20" s="3"/>
    </row>
    <row r="21" customFormat="false" ht="15" hidden="false" customHeight="false" outlineLevel="0" collapsed="false">
      <c r="A21" s="3"/>
      <c r="B21" s="3"/>
      <c r="C21" s="3"/>
      <c r="D21" s="3"/>
      <c r="E21" s="3"/>
      <c r="F21" s="3"/>
      <c r="G21" s="3"/>
      <c r="H21" s="3"/>
      <c r="I21" s="3"/>
      <c r="J21" s="3"/>
      <c r="K21" s="3"/>
      <c r="L21" s="3"/>
      <c r="M21" s="3"/>
      <c r="N21" s="3"/>
      <c r="O21" s="3"/>
      <c r="P21" s="3"/>
      <c r="Q21" s="3"/>
      <c r="R21" s="3"/>
      <c r="S21" s="3"/>
      <c r="T21" s="3"/>
    </row>
    <row r="22" customFormat="false" ht="15" hidden="false" customHeight="false" outlineLevel="0" collapsed="false">
      <c r="A22" s="3"/>
      <c r="B22" s="3"/>
      <c r="C22" s="3"/>
      <c r="D22" s="3"/>
      <c r="E22" s="3"/>
      <c r="F22" s="3"/>
      <c r="G22" s="3"/>
      <c r="H22" s="3"/>
      <c r="I22" s="3"/>
      <c r="J22" s="3"/>
      <c r="K22" s="3"/>
      <c r="L22" s="3"/>
      <c r="M22" s="3"/>
      <c r="N22" s="3"/>
      <c r="O22" s="3"/>
      <c r="P22" s="3"/>
      <c r="Q22" s="3"/>
      <c r="R22" s="3"/>
      <c r="S22" s="3"/>
      <c r="T22" s="3"/>
    </row>
    <row r="23" customFormat="false" ht="15" hidden="false" customHeight="false" outlineLevel="0" collapsed="false">
      <c r="A23" s="3"/>
      <c r="B23" s="3"/>
      <c r="C23" s="3"/>
      <c r="D23" s="3"/>
      <c r="E23" s="3"/>
      <c r="F23" s="3"/>
      <c r="G23" s="3"/>
      <c r="H23" s="3"/>
      <c r="I23" s="3"/>
      <c r="J23" s="3"/>
      <c r="K23" s="3"/>
      <c r="L23" s="3"/>
      <c r="M23" s="3"/>
      <c r="N23" s="3"/>
      <c r="O23" s="3"/>
      <c r="P23" s="3"/>
      <c r="Q23" s="3"/>
      <c r="R23" s="3"/>
      <c r="S23" s="3"/>
      <c r="T23" s="3"/>
    </row>
    <row r="24" customFormat="false" ht="15" hidden="false" customHeight="false" outlineLevel="0" collapsed="false">
      <c r="A24" s="3"/>
      <c r="B24" s="3"/>
      <c r="C24" s="3"/>
      <c r="D24" s="3"/>
      <c r="E24" s="3"/>
      <c r="F24" s="3"/>
      <c r="G24" s="3"/>
      <c r="H24" s="3"/>
      <c r="I24" s="3"/>
      <c r="J24" s="3"/>
      <c r="K24" s="3"/>
      <c r="L24" s="3"/>
      <c r="M24" s="3"/>
      <c r="N24" s="3"/>
      <c r="O24" s="3"/>
      <c r="P24" s="3"/>
      <c r="Q24" s="3"/>
      <c r="R24" s="3"/>
      <c r="S24" s="3"/>
      <c r="T24" s="3"/>
    </row>
    <row r="25" customFormat="false" ht="15" hidden="false" customHeight="false" outlineLevel="0" collapsed="false">
      <c r="A25" s="3"/>
      <c r="B25" s="3"/>
      <c r="C25" s="3"/>
      <c r="D25" s="3"/>
      <c r="E25" s="3"/>
      <c r="F25" s="3"/>
      <c r="G25" s="3"/>
      <c r="H25" s="3"/>
      <c r="I25" s="3"/>
      <c r="J25" s="3"/>
      <c r="K25" s="3"/>
      <c r="L25" s="3"/>
      <c r="M25" s="3"/>
      <c r="N25" s="3"/>
      <c r="O25" s="3"/>
      <c r="P25" s="3"/>
      <c r="Q25" s="3"/>
      <c r="R25" s="3"/>
      <c r="S25" s="3"/>
      <c r="T25" s="3"/>
    </row>
    <row r="26" customFormat="false" ht="15" hidden="false" customHeight="false" outlineLevel="0" collapsed="false">
      <c r="A26" s="3"/>
      <c r="B26" s="3"/>
      <c r="C26" s="3"/>
      <c r="D26" s="3"/>
      <c r="E26" s="3"/>
      <c r="F26" s="3"/>
      <c r="G26" s="3"/>
      <c r="H26" s="3"/>
      <c r="I26" s="3"/>
      <c r="J26" s="3"/>
      <c r="K26" s="3"/>
      <c r="L26" s="3"/>
      <c r="M26" s="3"/>
      <c r="N26" s="3"/>
      <c r="O26" s="3"/>
      <c r="P26" s="3"/>
      <c r="Q26" s="3"/>
      <c r="R26" s="3"/>
      <c r="S26" s="3"/>
      <c r="T26" s="3"/>
    </row>
    <row r="27" customFormat="false" ht="15" hidden="false" customHeight="false" outlineLevel="0" collapsed="false">
      <c r="A27" s="3"/>
      <c r="B27" s="3"/>
      <c r="C27" s="3"/>
      <c r="D27" s="3"/>
      <c r="E27" s="3"/>
      <c r="F27" s="3"/>
      <c r="G27" s="3"/>
      <c r="H27" s="3"/>
      <c r="I27" s="3"/>
      <c r="J27" s="3"/>
      <c r="K27" s="3"/>
      <c r="L27" s="3"/>
      <c r="M27" s="3"/>
      <c r="N27" s="3"/>
      <c r="O27" s="3"/>
      <c r="P27" s="3"/>
      <c r="Q27" s="3"/>
      <c r="R27" s="3"/>
      <c r="S27" s="3"/>
      <c r="T27" s="3"/>
    </row>
    <row r="28" customFormat="false" ht="15" hidden="false" customHeight="false" outlineLevel="0" collapsed="false">
      <c r="A28" s="3"/>
      <c r="B28" s="3"/>
      <c r="C28" s="3"/>
      <c r="D28" s="3"/>
      <c r="E28" s="3"/>
      <c r="F28" s="3"/>
      <c r="G28" s="3"/>
      <c r="H28" s="3"/>
      <c r="I28" s="3"/>
      <c r="J28" s="3"/>
      <c r="K28" s="3"/>
      <c r="L28" s="3"/>
      <c r="M28" s="3"/>
      <c r="N28" s="3"/>
      <c r="O28" s="3"/>
      <c r="P28" s="3"/>
      <c r="Q28" s="3"/>
      <c r="R28" s="3"/>
      <c r="S28" s="3"/>
      <c r="T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row>
    <row r="33" customFormat="false" ht="15" hidden="false" customHeight="false" outlineLevel="0" collapsed="false">
      <c r="A33" s="3"/>
      <c r="B33" s="3"/>
      <c r="C33" s="3"/>
      <c r="D33" s="3"/>
      <c r="E33" s="3"/>
      <c r="F33" s="3"/>
      <c r="G33" s="3"/>
      <c r="H33" s="3"/>
      <c r="I33" s="3"/>
      <c r="J33" s="3"/>
      <c r="K33" s="3"/>
      <c r="L33" s="3"/>
      <c r="M33" s="3"/>
      <c r="N33" s="3"/>
      <c r="O33" s="3"/>
      <c r="P33" s="3"/>
      <c r="Q33" s="3"/>
      <c r="R33" s="3"/>
      <c r="S33" s="3"/>
      <c r="T33" s="3"/>
    </row>
    <row r="34" customFormat="false" ht="15" hidden="false" customHeight="false" outlineLevel="0" collapsed="false">
      <c r="A34" s="3"/>
      <c r="B34" s="3"/>
      <c r="C34" s="3"/>
      <c r="D34" s="3"/>
      <c r="E34" s="3"/>
      <c r="F34" s="3"/>
      <c r="G34" s="3"/>
      <c r="H34" s="3"/>
      <c r="I34" s="3"/>
      <c r="J34" s="3"/>
      <c r="K34" s="3"/>
      <c r="L34" s="3"/>
      <c r="M34" s="3"/>
      <c r="N34" s="3"/>
      <c r="O34" s="3"/>
      <c r="P34" s="3"/>
      <c r="Q34" s="3"/>
      <c r="R34" s="3"/>
      <c r="S34" s="3"/>
      <c r="T34" s="3"/>
    </row>
    <row r="35" customFormat="false" ht="15" hidden="false" customHeight="false" outlineLevel="0" collapsed="false">
      <c r="A35" s="3"/>
      <c r="B35" s="3"/>
      <c r="C35" s="3"/>
      <c r="D35" s="3"/>
      <c r="E35" s="3"/>
      <c r="F35" s="3"/>
      <c r="G35" s="3"/>
      <c r="H35" s="3"/>
      <c r="I35" s="3"/>
      <c r="J35" s="3"/>
      <c r="K35" s="3"/>
      <c r="L35" s="3"/>
      <c r="M35" s="3"/>
      <c r="N35" s="3"/>
      <c r="O35" s="3"/>
      <c r="P35" s="3"/>
      <c r="Q35" s="3"/>
      <c r="R35" s="3"/>
      <c r="S35" s="3"/>
      <c r="T35" s="3"/>
    </row>
    <row r="36" customFormat="false" ht="15" hidden="false" customHeight="false" outlineLevel="0" collapsed="false">
      <c r="A36" s="3"/>
      <c r="B36" s="3"/>
      <c r="C36" s="3"/>
      <c r="D36" s="3"/>
      <c r="E36" s="3"/>
      <c r="F36" s="3"/>
      <c r="G36" s="3"/>
      <c r="H36" s="3"/>
      <c r="I36" s="3"/>
      <c r="J36" s="3"/>
      <c r="K36" s="3"/>
      <c r="L36" s="3"/>
      <c r="M36" s="3"/>
      <c r="N36" s="3"/>
      <c r="O36" s="3"/>
      <c r="P36" s="3"/>
      <c r="Q36" s="3"/>
      <c r="R36" s="3"/>
      <c r="S36" s="3"/>
      <c r="T36" s="3"/>
    </row>
    <row r="37" customFormat="false" ht="15" hidden="false" customHeight="false" outlineLevel="0" collapsed="false">
      <c r="A37" s="3"/>
      <c r="B37" s="3"/>
      <c r="C37" s="3"/>
      <c r="D37" s="3"/>
      <c r="E37" s="3"/>
      <c r="F37" s="3"/>
      <c r="G37" s="3"/>
      <c r="H37" s="3"/>
      <c r="I37" s="3"/>
      <c r="J37" s="3"/>
      <c r="K37" s="3"/>
      <c r="L37" s="3"/>
      <c r="M37" s="3"/>
      <c r="N37" s="3"/>
      <c r="O37" s="3"/>
      <c r="P37" s="3"/>
      <c r="Q37" s="3"/>
      <c r="R37" s="3"/>
      <c r="S37" s="3"/>
      <c r="T37" s="3"/>
    </row>
    <row r="38" customFormat="false" ht="15" hidden="false" customHeight="false" outlineLevel="0" collapsed="false">
      <c r="A38" s="3"/>
      <c r="B38" s="3"/>
      <c r="C38" s="3"/>
      <c r="D38" s="3"/>
      <c r="E38" s="3"/>
      <c r="F38" s="3"/>
      <c r="G38" s="3"/>
      <c r="H38" s="3"/>
      <c r="I38" s="3"/>
      <c r="J38" s="3"/>
      <c r="K38" s="3"/>
      <c r="L38" s="3"/>
      <c r="M38" s="3"/>
      <c r="N38" s="3"/>
      <c r="O38" s="3"/>
      <c r="P38" s="3"/>
      <c r="Q38" s="3"/>
      <c r="R38" s="3"/>
      <c r="S38" s="3"/>
      <c r="T38" s="3"/>
    </row>
    <row r="39" customFormat="false" ht="15" hidden="false" customHeight="false" outlineLevel="0" collapsed="false">
      <c r="A39" s="3"/>
      <c r="B39" s="30" t="s">
        <v>107</v>
      </c>
      <c r="C39" s="3"/>
      <c r="D39" s="3"/>
      <c r="E39" s="3"/>
      <c r="F39" s="3"/>
      <c r="G39" s="3"/>
      <c r="H39" s="3"/>
      <c r="I39" s="3"/>
      <c r="J39" s="3"/>
      <c r="K39" s="3"/>
      <c r="L39" s="3"/>
      <c r="M39" s="3"/>
      <c r="N39" s="3"/>
      <c r="O39" s="3"/>
      <c r="P39" s="3"/>
      <c r="Q39" s="3"/>
      <c r="R39" s="3"/>
      <c r="S39" s="3"/>
      <c r="T39" s="3"/>
    </row>
    <row r="40" customFormat="false" ht="15" hidden="false" customHeight="false" outlineLevel="0" collapsed="false">
      <c r="A40" s="3"/>
      <c r="B40" s="3"/>
      <c r="C40" s="3" t="n">
        <v>2021</v>
      </c>
      <c r="D40" s="3" t="n">
        <v>2022</v>
      </c>
      <c r="E40" s="3" t="n">
        <v>2023</v>
      </c>
      <c r="F40" s="3" t="n">
        <v>2024</v>
      </c>
      <c r="G40" s="3" t="n">
        <v>2025</v>
      </c>
      <c r="H40" s="3" t="n">
        <v>2026</v>
      </c>
      <c r="I40" s="3" t="n">
        <v>2027</v>
      </c>
      <c r="J40" s="3" t="n">
        <v>2028</v>
      </c>
      <c r="K40" s="3" t="n">
        <v>2029</v>
      </c>
      <c r="L40" s="3" t="n">
        <v>2030</v>
      </c>
      <c r="M40" s="3"/>
      <c r="N40" s="3"/>
      <c r="O40" s="3"/>
      <c r="P40" s="3"/>
      <c r="Q40" s="3"/>
      <c r="R40" s="3"/>
      <c r="S40" s="3"/>
      <c r="T40" s="3"/>
    </row>
    <row r="41" customFormat="false" ht="15" hidden="false" customHeight="false" outlineLevel="0" collapsed="false">
      <c r="A41" s="3"/>
      <c r="B41" s="38" t="s">
        <v>108</v>
      </c>
      <c r="C41" s="39" t="n">
        <f aca="false">'Income Statement'!C6</f>
        <v>269300.04</v>
      </c>
      <c r="D41" s="39" t="n">
        <f aca="false">'Income Statement'!D6</f>
        <v>289614.82</v>
      </c>
      <c r="E41" s="39" t="n">
        <f aca="false">'Income Statement'!E6</f>
        <v>317950.41</v>
      </c>
      <c r="F41" s="39" t="n">
        <f aca="false">'Income Statement'!F6</f>
        <v>344406.1</v>
      </c>
      <c r="G41" s="39" t="n">
        <f aca="false">'Income Statement'!G6</f>
        <v>374889.2</v>
      </c>
      <c r="H41" s="39" t="n">
        <f aca="false">'Income Statement'!H6</f>
        <v>398117.300826</v>
      </c>
      <c r="I41" s="39" t="n">
        <f aca="false">'Income Statement'!I6</f>
        <v>421513.739160376</v>
      </c>
      <c r="J41" s="39" t="n">
        <f aca="false">'Income Statement'!J6</f>
        <v>444882.389058064</v>
      </c>
      <c r="K41" s="39" t="n">
        <f aca="false">'Income Statement'!K6</f>
        <v>468182.387982329</v>
      </c>
      <c r="L41" s="39" t="n">
        <f aca="false">'Income Statement'!L6</f>
        <v>491199.410111353</v>
      </c>
      <c r="M41" s="3"/>
      <c r="N41" s="3"/>
      <c r="O41" s="3"/>
      <c r="P41" s="3"/>
      <c r="Q41" s="3"/>
      <c r="R41" s="3"/>
      <c r="S41" s="3"/>
      <c r="T41" s="3"/>
    </row>
    <row r="42" customFormat="false" ht="15" hidden="false" customHeight="false" outlineLevel="0" collapsed="false">
      <c r="A42" s="3"/>
      <c r="B42" s="38" t="s">
        <v>109</v>
      </c>
      <c r="C42" s="39" t="n">
        <f aca="false">'Income Statement'!C6</f>
        <v>269300.04</v>
      </c>
      <c r="D42" s="39" t="n">
        <f aca="false">'Income Statement'!D6</f>
        <v>289614.82</v>
      </c>
      <c r="E42" s="39" t="n">
        <f aca="false">'Income Statement'!E6</f>
        <v>317950.41</v>
      </c>
      <c r="F42" s="39" t="n">
        <f aca="false">'Income Statement'!F6</f>
        <v>344406.1</v>
      </c>
      <c r="G42" s="39" t="n">
        <f aca="false">'Income Statement'!G6</f>
        <v>374889.2</v>
      </c>
      <c r="H42" s="3"/>
      <c r="I42" s="3"/>
      <c r="J42" s="3"/>
      <c r="K42" s="3"/>
      <c r="L42" s="3"/>
      <c r="M42" s="3"/>
      <c r="N42" s="3"/>
      <c r="O42" s="3"/>
      <c r="P42" s="3"/>
      <c r="Q42" s="3"/>
      <c r="R42" s="3"/>
      <c r="S42" s="3"/>
      <c r="T42" s="3"/>
    </row>
    <row r="43" customFormat="false" ht="15" hidden="false" customHeight="false" outlineLevel="0" collapsed="false">
      <c r="A43" s="3"/>
      <c r="B43" s="38" t="s">
        <v>110</v>
      </c>
      <c r="C43" s="3"/>
      <c r="D43" s="3"/>
      <c r="E43" s="3"/>
      <c r="F43" s="3"/>
      <c r="G43" s="3"/>
      <c r="H43" s="39" t="n">
        <f aca="false">'Income Statement'!H6</f>
        <v>398117.300826</v>
      </c>
      <c r="I43" s="39" t="n">
        <f aca="false">'Income Statement'!I6</f>
        <v>421513.739160376</v>
      </c>
      <c r="J43" s="39" t="n">
        <f aca="false">'Income Statement'!J6</f>
        <v>444882.389058064</v>
      </c>
      <c r="K43" s="39" t="n">
        <f aca="false">'Income Statement'!K6</f>
        <v>468182.387982329</v>
      </c>
      <c r="L43" s="39" t="n">
        <f aca="false">'Income Statement'!L6</f>
        <v>491199.410111353</v>
      </c>
      <c r="M43" s="3"/>
      <c r="N43" s="3"/>
      <c r="O43" s="3"/>
      <c r="P43" s="3"/>
      <c r="Q43" s="3"/>
      <c r="R43" s="3"/>
      <c r="S43" s="3"/>
      <c r="T43" s="3"/>
    </row>
    <row r="44" customFormat="false" ht="15" hidden="false" customHeight="false" outlineLevel="0" collapsed="false">
      <c r="A44" s="3"/>
      <c r="B44" s="38" t="s">
        <v>111</v>
      </c>
      <c r="C44" s="39" t="n">
        <f aca="false">'Income Statement'!C12</f>
        <v>59246.0088</v>
      </c>
      <c r="D44" s="39" t="n">
        <f aca="false">'Income Statement'!D12</f>
        <v>66611.4086</v>
      </c>
      <c r="E44" s="39" t="n">
        <f aca="false">'Income Statement'!E12</f>
        <v>76308.0984</v>
      </c>
      <c r="F44" s="39" t="n">
        <f aca="false">'Income Statement'!F12</f>
        <v>86101.525</v>
      </c>
      <c r="G44" s="39" t="n">
        <f aca="false">'Income Statement'!G12</f>
        <v>97471.192</v>
      </c>
      <c r="H44" s="39" t="n">
        <f aca="false">'Income Statement'!H12</f>
        <v>105899.202019716</v>
      </c>
      <c r="I44" s="39" t="n">
        <f aca="false">'Income Statement'!I12</f>
        <v>114651.737051622</v>
      </c>
      <c r="J44" s="39" t="n">
        <f aca="false">'Income Statement'!J12</f>
        <v>123677.304158142</v>
      </c>
      <c r="K44" s="39" t="n">
        <f aca="false">'Income Statement'!K12</f>
        <v>132027.433411017</v>
      </c>
      <c r="L44" s="39" t="n">
        <f aca="false">'Income Statement'!L12</f>
        <v>140483.031291847</v>
      </c>
      <c r="M44" s="3"/>
      <c r="N44" s="3"/>
      <c r="O44" s="3"/>
      <c r="P44" s="3"/>
      <c r="Q44" s="3"/>
      <c r="R44" s="3"/>
      <c r="S44" s="3"/>
      <c r="T44" s="3"/>
    </row>
    <row r="45" customFormat="false" ht="15" hidden="false" customHeight="false" outlineLevel="0" collapsed="false">
      <c r="A45" s="3"/>
      <c r="B45" s="38" t="s">
        <v>112</v>
      </c>
      <c r="C45" s="40" t="n">
        <f aca="false">'Income Statement'!C12/'Income Statement'!C6</f>
        <v>0.22</v>
      </c>
      <c r="D45" s="40" t="n">
        <f aca="false">'Income Statement'!D12/'Income Statement'!D6</f>
        <v>0.23</v>
      </c>
      <c r="E45" s="40" t="n">
        <f aca="false">'Income Statement'!E12/'Income Statement'!E6</f>
        <v>0.24</v>
      </c>
      <c r="F45" s="40" t="n">
        <f aca="false">'Income Statement'!F12/'Income Statement'!F6</f>
        <v>0.25</v>
      </c>
      <c r="G45" s="40" t="n">
        <f aca="false">'Income Statement'!G12/'Income Statement'!G6</f>
        <v>0.26</v>
      </c>
      <c r="H45" s="40" t="n">
        <f aca="false">'Income Statement'!H12/'Income Statement'!H6</f>
        <v>0.266</v>
      </c>
      <c r="I45" s="40" t="n">
        <f aca="false">'Income Statement'!I12/'Income Statement'!I6</f>
        <v>0.272</v>
      </c>
      <c r="J45" s="40" t="n">
        <f aca="false">'Income Statement'!J12/'Income Statement'!J6</f>
        <v>0.278</v>
      </c>
      <c r="K45" s="40" t="n">
        <f aca="false">'Income Statement'!K12/'Income Statement'!K6</f>
        <v>0.282</v>
      </c>
      <c r="L45" s="40" t="n">
        <f aca="false">'Income Statement'!L12/'Income Statement'!L6</f>
        <v>0.286</v>
      </c>
      <c r="M45" s="3"/>
      <c r="N45" s="3"/>
      <c r="O45" s="3"/>
      <c r="P45" s="3"/>
      <c r="Q45" s="3"/>
      <c r="R45" s="3"/>
      <c r="S45" s="3"/>
      <c r="T45" s="3"/>
    </row>
    <row r="46" customFormat="false" ht="15" hidden="false" customHeight="false" outlineLevel="0" collapsed="false">
      <c r="A46" s="3"/>
      <c r="B46" s="38" t="s">
        <v>113</v>
      </c>
      <c r="C46" s="39" t="n">
        <f aca="false">'Income Statement'!C22</f>
        <v>33530.515328</v>
      </c>
      <c r="D46" s="39" t="n">
        <f aca="false">'Income Statement'!D22</f>
        <v>38752.2408119</v>
      </c>
      <c r="E46" s="39" t="n">
        <f aca="false">'Income Statement'!E22</f>
        <v>45389.8572009</v>
      </c>
      <c r="F46" s="39" t="n">
        <f aca="false">'Income Statement'!F22</f>
        <v>52543.874475</v>
      </c>
      <c r="G46" s="39" t="n">
        <f aca="false">'Income Statement'!G22</f>
        <v>60506.3856</v>
      </c>
      <c r="H46" s="39" t="n">
        <f aca="false">'Income Statement'!H22</f>
        <v>66641.5692884349</v>
      </c>
      <c r="I46" s="39" t="n">
        <f aca="false">'Income Statement'!I22</f>
        <v>73035.8734166618</v>
      </c>
      <c r="J46" s="39" t="n">
        <f aca="false">'Income Statement'!J22</f>
        <v>79966.3796112433</v>
      </c>
      <c r="K46" s="39" t="n">
        <f aca="false">'Income Statement'!K22</f>
        <v>86257.5164869094</v>
      </c>
      <c r="L46" s="39" t="n">
        <f aca="false">'Income Statement'!L22</f>
        <v>92298.0110245263</v>
      </c>
      <c r="M46" s="3"/>
      <c r="N46" s="3"/>
      <c r="O46" s="3"/>
      <c r="P46" s="3"/>
      <c r="Q46" s="3"/>
      <c r="R46" s="3"/>
      <c r="S46" s="3"/>
      <c r="T46" s="3"/>
    </row>
    <row r="47" customFormat="false" ht="15" hidden="false" customHeight="false" outlineLevel="0" collapsed="false">
      <c r="A47" s="3"/>
      <c r="B47" s="38" t="s">
        <v>114</v>
      </c>
      <c r="C47" s="3"/>
      <c r="D47" s="39" t="n">
        <f aca="false">'Cash Flow'!D12</f>
        <v>47791.0279189</v>
      </c>
      <c r="E47" s="39" t="n">
        <f aca="false">'Cash Flow'!E12</f>
        <v>54316.3268929</v>
      </c>
      <c r="F47" s="39" t="n">
        <f aca="false">'Cash Flow'!F12</f>
        <v>62351.713689</v>
      </c>
      <c r="G47" s="39" t="n">
        <f aca="false">'Cash Flow'!G12</f>
        <v>70621.660655</v>
      </c>
      <c r="H47" s="39" t="n">
        <f aca="false">'Cash Flow'!H12</f>
        <v>78394.1385222376</v>
      </c>
      <c r="I47" s="39" t="n">
        <f aca="false">'Cash Flow'!I12</f>
        <v>85194.4572467988</v>
      </c>
      <c r="J47" s="39" t="n">
        <f aca="false">'Cash Flow'!J12</f>
        <v>92950.1990217927</v>
      </c>
      <c r="K47" s="39" t="n">
        <f aca="false">'Cash Flow'!K12</f>
        <v>99586.5197424249</v>
      </c>
      <c r="L47" s="39" t="n">
        <f aca="false">'Cash Flow'!L12</f>
        <v>106444.141858494</v>
      </c>
      <c r="M47" s="3"/>
      <c r="N47" s="3"/>
      <c r="O47" s="3"/>
      <c r="P47" s="3"/>
      <c r="Q47" s="3"/>
      <c r="R47" s="3"/>
      <c r="S47" s="3"/>
      <c r="T47" s="3"/>
    </row>
    <row r="48" customFormat="false" ht="15" hidden="false" customHeight="false" outlineLevel="0" collapsed="false">
      <c r="A48" s="3"/>
      <c r="B48" s="38" t="s">
        <v>115</v>
      </c>
      <c r="C48" s="3"/>
      <c r="D48" s="40" t="n">
        <f aca="false">'Revenue Build'!D23</f>
        <v>0.0754354882383235</v>
      </c>
      <c r="E48" s="40" t="n">
        <f aca="false">'Revenue Build'!E23</f>
        <v>0.0978388813113915</v>
      </c>
      <c r="F48" s="40" t="n">
        <f aca="false">'Revenue Build'!F23</f>
        <v>0.0832069692880721</v>
      </c>
      <c r="G48" s="40" t="n">
        <f aca="false">'Revenue Build'!G23</f>
        <v>0.0885091756504894</v>
      </c>
      <c r="H48" s="40" t="n">
        <f aca="false">'Revenue Build'!H23</f>
        <v>0.0619599092905314</v>
      </c>
      <c r="I48" s="40" t="n">
        <f aca="false">'Revenue Build'!I23</f>
        <v>0.0587677005893332</v>
      </c>
      <c r="J48" s="40" t="n">
        <f aca="false">'Revenue Build'!J23</f>
        <v>0.0554398296583099</v>
      </c>
      <c r="K48" s="40" t="n">
        <f aca="false">'Revenue Build'!K23</f>
        <v>0.0523733901303609</v>
      </c>
      <c r="L48" s="40" t="n">
        <f aca="false">'Revenue Build'!L23</f>
        <v>0.0491625117045034</v>
      </c>
      <c r="M48" s="3"/>
      <c r="N48" s="3"/>
      <c r="O48" s="3"/>
      <c r="P48" s="3"/>
      <c r="Q48" s="3"/>
      <c r="R48" s="3"/>
      <c r="S48" s="3"/>
      <c r="T48" s="3"/>
    </row>
    <row r="49" customFormat="false" ht="15" hidden="false" customHeight="false" outlineLevel="0" collapsed="false">
      <c r="A49" s="3"/>
      <c r="B49" s="38" t="s">
        <v>116</v>
      </c>
      <c r="C49" s="3"/>
      <c r="D49" s="3"/>
      <c r="E49" s="3"/>
      <c r="F49" s="3"/>
      <c r="G49" s="3"/>
      <c r="H49" s="39" t="n">
        <f aca="false">'DCF Valuation'!H13</f>
        <v>66553.4156925016</v>
      </c>
      <c r="I49" s="39" t="n">
        <f aca="false">'DCF Valuation'!I13</f>
        <v>72829.1638761856</v>
      </c>
      <c r="J49" s="39" t="n">
        <f aca="false">'DCF Valuation'!J13</f>
        <v>79573.8154047604</v>
      </c>
      <c r="K49" s="39" t="n">
        <f aca="false">'DCF Valuation'!K13</f>
        <v>85653.8185510256</v>
      </c>
      <c r="L49" s="39" t="n">
        <f aca="false">'DCF Valuation'!L13</f>
        <v>91519.8619147075</v>
      </c>
      <c r="M49" s="3"/>
      <c r="N49" s="3"/>
      <c r="O49" s="3"/>
      <c r="P49" s="3"/>
      <c r="Q49" s="3"/>
      <c r="R49" s="3"/>
      <c r="S49" s="3"/>
      <c r="T49" s="3"/>
    </row>
    <row r="50" customFormat="false" ht="15" hidden="false" customHeight="false" outlineLevel="0" collapsed="false">
      <c r="A50" s="3"/>
      <c r="B50" s="38" t="s">
        <v>117</v>
      </c>
      <c r="C50" s="3"/>
      <c r="D50" s="3"/>
      <c r="E50" s="3"/>
      <c r="F50" s="3"/>
      <c r="G50" s="3"/>
      <c r="H50" s="3"/>
      <c r="I50" s="3"/>
      <c r="J50" s="3"/>
      <c r="K50" s="3"/>
      <c r="L50" s="3"/>
      <c r="M50" s="3"/>
      <c r="N50" s="3"/>
      <c r="O50" s="3"/>
      <c r="P50" s="3"/>
      <c r="Q50" s="3"/>
      <c r="R50" s="3"/>
      <c r="S50" s="3"/>
      <c r="T50" s="3"/>
    </row>
    <row r="51" customFormat="false" ht="15" hidden="false" customHeight="false" outlineLevel="0" collapsed="false">
      <c r="A51" s="3"/>
      <c r="B51" s="41" t="s">
        <v>118</v>
      </c>
      <c r="C51" s="39" t="n">
        <f aca="false">'Revenue Build'!L9</f>
        <v>177056.456311635</v>
      </c>
      <c r="D51" s="3"/>
      <c r="E51" s="3"/>
      <c r="F51" s="3"/>
      <c r="G51" s="3"/>
      <c r="H51" s="3"/>
      <c r="I51" s="3"/>
      <c r="J51" s="3"/>
      <c r="K51" s="3"/>
      <c r="L51" s="3"/>
      <c r="M51" s="3"/>
      <c r="N51" s="3"/>
      <c r="O51" s="3"/>
      <c r="P51" s="3"/>
      <c r="Q51" s="3"/>
      <c r="R51" s="3"/>
      <c r="S51" s="3"/>
      <c r="T51" s="3"/>
    </row>
    <row r="52" customFormat="false" ht="15" hidden="false" customHeight="false" outlineLevel="0" collapsed="false">
      <c r="A52" s="3"/>
      <c r="B52" s="41" t="s">
        <v>119</v>
      </c>
      <c r="C52" s="39" t="n">
        <f aca="false">'Revenue Build'!L14</f>
        <v>216475.033251116</v>
      </c>
      <c r="D52" s="3"/>
      <c r="E52" s="3"/>
      <c r="F52" s="3"/>
      <c r="G52" s="3"/>
      <c r="H52" s="3"/>
      <c r="I52" s="3"/>
      <c r="J52" s="3"/>
      <c r="K52" s="3"/>
      <c r="L52" s="3"/>
      <c r="M52" s="3"/>
      <c r="N52" s="3"/>
      <c r="O52" s="3"/>
      <c r="P52" s="3"/>
      <c r="Q52" s="3"/>
      <c r="R52" s="3"/>
      <c r="S52" s="3"/>
      <c r="T52" s="3"/>
    </row>
    <row r="53" customFormat="false" ht="15" hidden="false" customHeight="false" outlineLevel="0" collapsed="false">
      <c r="A53" s="3"/>
      <c r="B53" s="41" t="s">
        <v>120</v>
      </c>
      <c r="C53" s="39" t="n">
        <f aca="false">'Revenue Build'!L19</f>
        <v>97667.920548603</v>
      </c>
      <c r="D53" s="3"/>
      <c r="E53" s="3"/>
      <c r="F53" s="3"/>
      <c r="G53" s="3"/>
      <c r="H53" s="3"/>
      <c r="I53" s="3"/>
      <c r="J53" s="3"/>
      <c r="K53" s="3"/>
      <c r="L53" s="3"/>
      <c r="M53" s="3"/>
      <c r="N53" s="3"/>
      <c r="O53" s="3"/>
      <c r="P53" s="3"/>
      <c r="Q53" s="3"/>
      <c r="R53" s="3"/>
      <c r="S53" s="3"/>
      <c r="T53" s="3"/>
    </row>
    <row r="54" customFormat="false" ht="15" hidden="false" customHeight="false" outlineLevel="0" collapsed="false">
      <c r="A54" s="3"/>
      <c r="B54" s="3"/>
      <c r="C54" s="3"/>
      <c r="D54" s="3"/>
      <c r="E54" s="3"/>
      <c r="F54" s="3"/>
      <c r="G54" s="3"/>
      <c r="H54" s="3"/>
      <c r="I54" s="3"/>
      <c r="J54" s="3"/>
      <c r="K54" s="3"/>
      <c r="L54" s="3"/>
      <c r="M54" s="3"/>
      <c r="N54" s="3"/>
      <c r="O54" s="3"/>
      <c r="P54" s="3"/>
      <c r="Q54" s="3"/>
      <c r="R54" s="3"/>
      <c r="S54" s="3"/>
      <c r="T54" s="3"/>
    </row>
    <row r="55" customFormat="false" ht="20.85" hidden="false" customHeight="false" outlineLevel="0" collapsed="false">
      <c r="A55" s="3"/>
      <c r="B55" s="38" t="s">
        <v>121</v>
      </c>
      <c r="C55" s="42" t="s">
        <v>122</v>
      </c>
      <c r="D55" s="42" t="s">
        <v>123</v>
      </c>
      <c r="E55" s="42" t="s">
        <v>124</v>
      </c>
      <c r="F55" s="42" t="s">
        <v>125</v>
      </c>
      <c r="G55" s="42" t="s">
        <v>126</v>
      </c>
      <c r="H55" s="3"/>
      <c r="I55" s="3"/>
      <c r="J55" s="3"/>
      <c r="K55" s="3"/>
      <c r="L55" s="3"/>
      <c r="M55" s="3"/>
      <c r="N55" s="3"/>
      <c r="O55" s="3"/>
      <c r="P55" s="3"/>
      <c r="Q55" s="3"/>
      <c r="R55" s="3"/>
      <c r="S55" s="3"/>
      <c r="T55" s="3"/>
    </row>
    <row r="56" customFormat="false" ht="15" hidden="false" customHeight="false" outlineLevel="0" collapsed="false">
      <c r="A56" s="3"/>
      <c r="B56" s="43" t="s">
        <v>127</v>
      </c>
      <c r="C56" s="44" t="n">
        <f aca="false">0</f>
        <v>0</v>
      </c>
      <c r="D56" s="44" t="n">
        <f aca="false">'DCF Valuation'!C21*0+'DCF Valuation'!C19</f>
        <v>296178.360956896</v>
      </c>
      <c r="E56" s="44" t="n">
        <f aca="false">0</f>
        <v>0</v>
      </c>
      <c r="F56" s="44" t="n">
        <f aca="false">'DCF Valuation'!C26</f>
        <v>1224509.88050049</v>
      </c>
      <c r="G56" s="44" t="n">
        <f aca="false">0</f>
        <v>0</v>
      </c>
      <c r="H56" s="3"/>
      <c r="I56" s="3"/>
      <c r="J56" s="3"/>
      <c r="K56" s="3"/>
      <c r="L56" s="3"/>
      <c r="M56" s="3"/>
      <c r="N56" s="3"/>
      <c r="O56" s="3"/>
      <c r="P56" s="3"/>
      <c r="Q56" s="3"/>
      <c r="R56" s="3"/>
      <c r="S56" s="3"/>
      <c r="T56" s="3"/>
    </row>
    <row r="57" customFormat="false" ht="15" hidden="false" customHeight="false" outlineLevel="0" collapsed="false">
      <c r="A57" s="3"/>
      <c r="B57" s="43" t="s">
        <v>128</v>
      </c>
      <c r="C57" s="44" t="n">
        <f aca="false">'DCF Valuation'!C19</f>
        <v>296178.360956896</v>
      </c>
      <c r="D57" s="44" t="n">
        <f aca="false">'DCF Valuation'!C21</f>
        <v>761174.486077798</v>
      </c>
      <c r="E57" s="44" t="n">
        <f aca="false">'DCF Valuation'!C22</f>
        <v>1057352.84703469</v>
      </c>
      <c r="F57" s="44" t="n">
        <f aca="false">'DCF Valuation'!C25</f>
        <v>-167157.0334658</v>
      </c>
      <c r="G57" s="44" t="n">
        <f aca="false">'DCF Valuation'!C26</f>
        <v>1224509.88050049</v>
      </c>
      <c r="H57" s="3"/>
      <c r="I57" s="3"/>
      <c r="J57" s="3"/>
      <c r="K57" s="3"/>
      <c r="L57" s="3"/>
      <c r="M57" s="3"/>
      <c r="N57" s="3"/>
      <c r="O57" s="3"/>
      <c r="P57" s="3"/>
      <c r="Q57" s="3"/>
      <c r="R57" s="3"/>
      <c r="S57" s="3"/>
      <c r="T57" s="3"/>
    </row>
    <row r="58" customFormat="false" ht="15" hidden="false" customHeight="false" outlineLevel="0" collapsed="false">
      <c r="A58" s="3"/>
      <c r="B58" s="3"/>
      <c r="C58" s="3"/>
      <c r="D58" s="3"/>
      <c r="E58" s="3"/>
      <c r="F58" s="3"/>
      <c r="G58" s="3"/>
      <c r="H58" s="3"/>
      <c r="I58" s="3"/>
      <c r="J58" s="3"/>
      <c r="K58" s="3"/>
      <c r="L58" s="3"/>
      <c r="M58" s="3"/>
      <c r="N58" s="3"/>
      <c r="O58" s="3"/>
      <c r="P58" s="3"/>
      <c r="Q58" s="3"/>
      <c r="R58" s="3"/>
      <c r="S58" s="3"/>
      <c r="T58" s="3"/>
    </row>
    <row r="59" customFormat="false" ht="15" hidden="false" customHeight="false" outlineLevel="0" collapsed="false">
      <c r="A59" s="3"/>
      <c r="B59" s="3"/>
      <c r="C59" s="3"/>
      <c r="D59" s="3"/>
      <c r="E59" s="3"/>
      <c r="F59" s="3"/>
      <c r="G59" s="3"/>
      <c r="H59" s="3"/>
      <c r="I59" s="3"/>
      <c r="J59" s="3"/>
      <c r="K59" s="3"/>
      <c r="L59" s="3"/>
      <c r="M59" s="3"/>
      <c r="N59" s="3"/>
      <c r="O59" s="3"/>
      <c r="P59" s="3"/>
      <c r="Q59" s="3"/>
      <c r="R59" s="3"/>
      <c r="S59" s="3"/>
      <c r="T59" s="3"/>
    </row>
    <row r="60" customFormat="false" ht="15" hidden="false" customHeight="false" outlineLevel="0" collapsed="false">
      <c r="A60" s="3"/>
      <c r="B60" s="3"/>
      <c r="C60" s="3"/>
      <c r="D60" s="3"/>
      <c r="E60" s="3"/>
      <c r="F60" s="3"/>
      <c r="G60" s="3"/>
      <c r="H60" s="3"/>
      <c r="I60" s="3"/>
      <c r="J60" s="3"/>
      <c r="K60" s="3"/>
      <c r="L60" s="3"/>
      <c r="M60" s="3"/>
      <c r="N60" s="3"/>
      <c r="O60" s="3"/>
      <c r="P60" s="3"/>
      <c r="Q60" s="3"/>
      <c r="R60" s="3"/>
      <c r="S60" s="3"/>
      <c r="T60" s="3"/>
    </row>
    <row r="61" customFormat="false" ht="15" hidden="false" customHeight="false" outlineLevel="0" collapsed="false">
      <c r="A61" s="3"/>
      <c r="B61" s="3"/>
      <c r="C61" s="3"/>
      <c r="D61" s="3"/>
      <c r="E61" s="3"/>
      <c r="F61" s="3"/>
      <c r="G61" s="3"/>
      <c r="H61" s="3"/>
      <c r="I61" s="3"/>
      <c r="J61" s="3"/>
      <c r="K61" s="3"/>
      <c r="L61" s="3"/>
      <c r="M61" s="3"/>
      <c r="N61" s="3"/>
      <c r="O61" s="3"/>
      <c r="P61" s="3"/>
      <c r="Q61" s="3"/>
      <c r="R61" s="3"/>
      <c r="S61" s="3"/>
      <c r="T61" s="3"/>
    </row>
    <row r="62" customFormat="false" ht="15" hidden="false" customHeight="false" outlineLevel="0" collapsed="false">
      <c r="A62" s="3"/>
      <c r="B62" s="3"/>
      <c r="C62" s="3"/>
      <c r="D62" s="3"/>
      <c r="E62" s="3"/>
      <c r="F62" s="3"/>
      <c r="G62" s="3"/>
      <c r="H62" s="3"/>
      <c r="I62" s="3"/>
      <c r="J62" s="3"/>
      <c r="K62" s="3"/>
      <c r="L62" s="3"/>
      <c r="M62" s="3"/>
      <c r="N62" s="3"/>
      <c r="O62" s="3"/>
      <c r="P62" s="3"/>
      <c r="Q62" s="3"/>
      <c r="R62" s="3"/>
      <c r="S62" s="3"/>
      <c r="T62" s="3"/>
    </row>
    <row r="63" customFormat="false" ht="15" hidden="false" customHeight="false" outlineLevel="0" collapsed="false">
      <c r="A63" s="3"/>
      <c r="B63" s="3"/>
      <c r="C63" s="3"/>
      <c r="D63" s="3"/>
      <c r="E63" s="3"/>
      <c r="F63" s="3"/>
      <c r="G63" s="3"/>
      <c r="H63" s="3"/>
      <c r="I63" s="3"/>
      <c r="J63" s="3"/>
      <c r="K63" s="3"/>
      <c r="L63" s="3"/>
      <c r="M63" s="3"/>
      <c r="N63" s="3"/>
      <c r="O63" s="3"/>
      <c r="P63" s="3"/>
      <c r="Q63" s="3"/>
      <c r="R63" s="3"/>
      <c r="S63" s="3"/>
      <c r="T63" s="3"/>
    </row>
    <row r="64" customFormat="false" ht="15" hidden="false" customHeight="false" outlineLevel="0" collapsed="false">
      <c r="A64" s="3"/>
      <c r="B64" s="3"/>
      <c r="C64" s="3"/>
      <c r="D64" s="3"/>
      <c r="E64" s="3"/>
      <c r="F64" s="3"/>
      <c r="G64" s="3"/>
      <c r="H64" s="3"/>
      <c r="I64" s="3"/>
      <c r="J64" s="3"/>
      <c r="K64" s="3"/>
      <c r="L64" s="3"/>
      <c r="M64" s="3"/>
      <c r="N64" s="3"/>
      <c r="O64" s="3"/>
      <c r="P64" s="3"/>
      <c r="Q64" s="3"/>
      <c r="R64" s="3"/>
      <c r="S64" s="3"/>
      <c r="T64" s="3"/>
    </row>
    <row r="93" customFormat="false" ht="15" hidden="false" customHeight="false" outlineLevel="0" collapsed="false">
      <c r="B93" s="45" t="s">
        <v>129</v>
      </c>
    </row>
    <row r="94" customFormat="false" ht="15" hidden="false" customHeight="false" outlineLevel="0" collapsed="false">
      <c r="B94" s="46" t="s">
        <v>130</v>
      </c>
      <c r="C94" s="47" t="s">
        <v>131</v>
      </c>
      <c r="D94" s="47" t="s">
        <v>132</v>
      </c>
      <c r="E94" s="47" t="s">
        <v>133</v>
      </c>
    </row>
    <row r="95" customFormat="false" ht="15" hidden="false" customHeight="false" outlineLevel="0" collapsed="false">
      <c r="B95" s="48" t="s">
        <v>134</v>
      </c>
      <c r="C95" s="49" t="n">
        <f aca="false">Sensitivity!F12</f>
        <v>23.8731425668659</v>
      </c>
      <c r="D95" s="49" t="n">
        <f aca="false">Sensitivity!F10</f>
        <v>26.8149990326628</v>
      </c>
      <c r="E95" s="50" t="n">
        <f aca="false">D95-C95</f>
        <v>2.94185646579682</v>
      </c>
    </row>
    <row r="96" customFormat="false" ht="15" hidden="false" customHeight="false" outlineLevel="0" collapsed="false">
      <c r="B96" s="48" t="s">
        <v>135</v>
      </c>
      <c r="C96" s="49" t="n">
        <f aca="false">Sensitivity!E11</f>
        <v>24.2131967967628</v>
      </c>
      <c r="D96" s="49" t="n">
        <f aca="false">Sensitivity!G11</f>
        <v>26.4266603239304</v>
      </c>
      <c r="E96" s="50" t="n">
        <f aca="false">D96-C96</f>
        <v>2.21346352716768</v>
      </c>
    </row>
    <row r="97" customFormat="false" ht="15" hidden="false" customHeight="false" outlineLevel="0" collapsed="false">
      <c r="B97" s="48" t="s">
        <v>136</v>
      </c>
      <c r="C97" s="49" t="n">
        <f aca="false">Comparables!C39</f>
        <v>28.4778666422504</v>
      </c>
      <c r="D97" s="49" t="n">
        <f aca="false">Comparables!D39</f>
        <v>32.0825446500126</v>
      </c>
      <c r="E97" s="50" t="n">
        <f aca="false">D97-C97</f>
        <v>3.6046780077622</v>
      </c>
    </row>
    <row r="98" customFormat="false" ht="15" hidden="false" customHeight="false" outlineLevel="0" collapsed="false">
      <c r="B98" s="48" t="s">
        <v>137</v>
      </c>
      <c r="C98" s="51" t="n">
        <f aca="false">(('DCF Valuation'!H13*0.95/(1+Assumptions!$C$40)^1+'DCF Valuation'!I13*0.95/(1+Assumptions!$C$40)^2+'DCF Valuation'!J13*0.95/(1+Assumptions!$C$40)^3+'DCF Valuation'!K13*0.95/(1+Assumptions!$C$40)^4+'DCF Valuation'!L13*0.95/(1+Assumptions!$C$40)^5)+(('DCF Valuation'!L13*0.95*(1+Assumptions!$C$41))/(Assumptions!$C$40-Assumptions!$C$41)/(1+Assumptions!$C$40)^5)-'DCF Valuation'!C25)/(Assumptions!$C$42*1000)</f>
        <v>24.157571920593</v>
      </c>
      <c r="D98" s="51" t="n">
        <f aca="false">(('DCF Valuation'!H13*1.05/(1+Assumptions!$C$40)^1+'DCF Valuation'!I13*1.05/(1+Assumptions!$C$40)^2+'DCF Valuation'!J13*1.05/(1+Assumptions!$C$40)^3+'DCF Valuation'!K13*1.05/(1+Assumptions!$C$40)^4+'DCF Valuation'!L13*1.05/(1+Assumptions!$C$40)^5)+(('DCF Valuation'!L13*1.05*(1+Assumptions!$C$41))/(Assumptions!$C$40-Assumptions!$C$41)/(1+Assumptions!$C$40)^5)-'DCF Valuation'!C25)/(Assumptions!$C$42*1000)</f>
        <v>26.3376808835511</v>
      </c>
      <c r="E98" s="50" t="n">
        <f aca="false">D98-C98</f>
        <v>2.18010896295813</v>
      </c>
    </row>
  </sheetData>
  <mergeCells count="21">
    <mergeCell ref="B1:N1"/>
    <mergeCell ref="B8:D8"/>
    <mergeCell ref="F8:H8"/>
    <mergeCell ref="J8:L8"/>
    <mergeCell ref="N8:P8"/>
    <mergeCell ref="R8:T8"/>
    <mergeCell ref="B9:D10"/>
    <mergeCell ref="F9:H10"/>
    <mergeCell ref="J9:L10"/>
    <mergeCell ref="N9:P10"/>
    <mergeCell ref="R9:T10"/>
    <mergeCell ref="B11:D11"/>
    <mergeCell ref="F11:H11"/>
    <mergeCell ref="J11:L11"/>
    <mergeCell ref="N11:P11"/>
    <mergeCell ref="R11:T11"/>
    <mergeCell ref="B12:D12"/>
    <mergeCell ref="F12:H12"/>
    <mergeCell ref="J12:L12"/>
    <mergeCell ref="N12:P12"/>
    <mergeCell ref="R12:T12"/>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1E1E"/>
    <pageSetUpPr fitToPage="tru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8"/>
    <col collapsed="false" customWidth="true" hidden="false" outlineLevel="0" max="5" min="3" style="0" width="13"/>
    <col collapsed="false" customWidth="true" hidden="false" outlineLevel="0" max="6" min="6" style="0" width="3"/>
    <col collapsed="false" customWidth="true" hidden="false" outlineLevel="0" max="7" min="7" style="0" width="15"/>
  </cols>
  <sheetData>
    <row r="1" customFormat="false" ht="31.5" hidden="false" customHeight="true" outlineLevel="0" collapsed="false">
      <c r="A1" s="15"/>
      <c r="B1" s="16" t="s">
        <v>138</v>
      </c>
      <c r="C1" s="16"/>
      <c r="D1" s="16"/>
      <c r="E1" s="16"/>
      <c r="F1" s="16"/>
      <c r="G1" s="16"/>
      <c r="H1" s="15"/>
      <c r="I1" s="15"/>
      <c r="J1" s="15"/>
      <c r="K1" s="15"/>
      <c r="L1" s="15"/>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0" t="s">
        <v>95</v>
      </c>
      <c r="C3" s="3"/>
      <c r="D3" s="3"/>
      <c r="E3" s="3"/>
      <c r="F3" s="3"/>
      <c r="G3" s="3"/>
      <c r="H3" s="3"/>
    </row>
    <row r="4" customFormat="false" ht="15" hidden="false" customHeight="false" outlineLevel="0" collapsed="false">
      <c r="A4" s="3"/>
      <c r="B4" s="3"/>
      <c r="C4" s="3"/>
      <c r="D4" s="3"/>
      <c r="E4" s="3"/>
      <c r="F4" s="3"/>
      <c r="G4" s="3"/>
      <c r="H4" s="3"/>
    </row>
    <row r="5" customFormat="false" ht="15" hidden="false" customHeight="false" outlineLevel="0" collapsed="false">
      <c r="A5" s="3"/>
      <c r="B5" s="3"/>
      <c r="C5" s="3"/>
      <c r="D5" s="3"/>
      <c r="E5" s="3"/>
      <c r="F5" s="3"/>
      <c r="G5" s="3"/>
      <c r="H5" s="3"/>
    </row>
    <row r="6" customFormat="false" ht="16.15" hidden="false" customHeight="false" outlineLevel="0" collapsed="false">
      <c r="A6" s="3"/>
      <c r="B6" s="52" t="s">
        <v>139</v>
      </c>
      <c r="C6" s="53" t="s">
        <v>140</v>
      </c>
      <c r="D6" s="53"/>
      <c r="E6" s="3"/>
      <c r="F6" s="3"/>
      <c r="G6" s="3"/>
      <c r="H6" s="3"/>
    </row>
    <row r="7" customFormat="false" ht="15" hidden="false" customHeight="false" outlineLevel="0" collapsed="false">
      <c r="A7" s="3"/>
      <c r="B7" s="54" t="s">
        <v>141</v>
      </c>
      <c r="C7" s="55" t="n">
        <f aca="false">MATCH(C6,{"Bear","Base","Bull"},0)</f>
        <v>2</v>
      </c>
      <c r="D7" s="3"/>
      <c r="E7" s="3"/>
      <c r="F7" s="3"/>
      <c r="G7" s="3"/>
      <c r="H7" s="3"/>
    </row>
    <row r="8" customFormat="false" ht="15" hidden="false" customHeight="false" outlineLevel="0" collapsed="false">
      <c r="A8" s="3"/>
      <c r="B8" s="3"/>
      <c r="C8" s="3"/>
      <c r="D8" s="3"/>
      <c r="E8" s="3"/>
      <c r="F8" s="3"/>
      <c r="G8" s="3"/>
      <c r="H8" s="3"/>
    </row>
    <row r="9" customFormat="false" ht="15" hidden="false" customHeight="false" outlineLevel="0" collapsed="false">
      <c r="A9" s="3"/>
      <c r="B9" s="56" t="s">
        <v>142</v>
      </c>
      <c r="C9" s="3"/>
      <c r="D9" s="3"/>
      <c r="E9" s="3"/>
      <c r="F9" s="3"/>
      <c r="G9" s="3"/>
      <c r="H9" s="3"/>
    </row>
    <row r="10" customFormat="false" ht="42" hidden="false" customHeight="true" outlineLevel="0" collapsed="false">
      <c r="A10" s="3"/>
      <c r="B10" s="57" t="s">
        <v>143</v>
      </c>
      <c r="C10" s="57"/>
      <c r="D10" s="57"/>
      <c r="E10" s="57"/>
      <c r="F10" s="57"/>
      <c r="G10" s="57"/>
      <c r="H10" s="3"/>
    </row>
    <row r="11" customFormat="false" ht="15" hidden="false" customHeight="false" outlineLevel="0" collapsed="false">
      <c r="A11" s="3"/>
      <c r="B11" s="3"/>
      <c r="C11" s="3"/>
      <c r="D11" s="3"/>
      <c r="E11" s="3"/>
      <c r="F11" s="3"/>
      <c r="G11" s="3"/>
      <c r="H11" s="3"/>
    </row>
    <row r="12" customFormat="false" ht="15" hidden="false" customHeight="false" outlineLevel="0" collapsed="false">
      <c r="A12" s="3"/>
      <c r="B12" s="58" t="s">
        <v>144</v>
      </c>
      <c r="C12" s="59" t="s">
        <v>145</v>
      </c>
      <c r="D12" s="60" t="s">
        <v>146</v>
      </c>
      <c r="E12" s="61" t="s">
        <v>147</v>
      </c>
      <c r="F12" s="62" t="s">
        <v>148</v>
      </c>
      <c r="G12" s="3"/>
      <c r="H12" s="3"/>
    </row>
    <row r="13" customFormat="false" ht="15" hidden="false" customHeight="false" outlineLevel="0" collapsed="false">
      <c r="A13" s="3"/>
      <c r="B13" s="63" t="s">
        <v>149</v>
      </c>
      <c r="C13" s="64" t="n">
        <v>-0.015</v>
      </c>
      <c r="D13" s="64" t="n">
        <v>0</v>
      </c>
      <c r="E13" s="64" t="n">
        <v>0.015</v>
      </c>
      <c r="F13" s="65" t="n">
        <f aca="false">CHOOSE(Scenarios!$C$7,C13,D13,E13)</f>
        <v>0</v>
      </c>
      <c r="G13" s="3"/>
      <c r="H13" s="3"/>
    </row>
    <row r="14" customFormat="false" ht="15" hidden="false" customHeight="false" outlineLevel="0" collapsed="false">
      <c r="A14" s="3"/>
      <c r="B14" s="63" t="s">
        <v>150</v>
      </c>
      <c r="C14" s="64" t="n">
        <v>-0.025</v>
      </c>
      <c r="D14" s="64" t="n">
        <v>0</v>
      </c>
      <c r="E14" s="64" t="n">
        <v>0.025</v>
      </c>
      <c r="F14" s="65" t="n">
        <f aca="false">CHOOSE(Scenarios!$C$7,C14,D14,E14)</f>
        <v>0</v>
      </c>
      <c r="G14" s="3"/>
      <c r="H14" s="3"/>
    </row>
    <row r="15" customFormat="false" ht="15" hidden="false" customHeight="false" outlineLevel="0" collapsed="false">
      <c r="A15" s="3"/>
      <c r="B15" s="63" t="s">
        <v>151</v>
      </c>
      <c r="C15" s="64" t="n">
        <v>-0.02</v>
      </c>
      <c r="D15" s="64" t="n">
        <v>0</v>
      </c>
      <c r="E15" s="64" t="n">
        <v>0.02</v>
      </c>
      <c r="F15" s="65" t="n">
        <f aca="false">CHOOSE(Scenarios!$C$7,C15,D15,E15)</f>
        <v>0</v>
      </c>
      <c r="G15" s="3"/>
      <c r="H15" s="3"/>
    </row>
    <row r="16" customFormat="false" ht="15" hidden="false" customHeight="false" outlineLevel="0" collapsed="false">
      <c r="A16" s="3"/>
      <c r="B16" s="63" t="s">
        <v>152</v>
      </c>
      <c r="C16" s="64" t="n">
        <v>-0.006</v>
      </c>
      <c r="D16" s="64" t="n">
        <v>0</v>
      </c>
      <c r="E16" s="64" t="n">
        <v>0.006</v>
      </c>
      <c r="F16" s="65" t="n">
        <f aca="false">CHOOSE(Scenarios!$C$7,C16,D16,E16)</f>
        <v>0</v>
      </c>
      <c r="G16" s="3"/>
      <c r="H16" s="3"/>
    </row>
    <row r="17" customFormat="false" ht="15" hidden="false" customHeight="false" outlineLevel="0" collapsed="false">
      <c r="A17" s="3"/>
      <c r="B17" s="63" t="s">
        <v>153</v>
      </c>
      <c r="C17" s="64" t="n">
        <v>-0.005</v>
      </c>
      <c r="D17" s="64" t="n">
        <v>0</v>
      </c>
      <c r="E17" s="64" t="n">
        <v>0.005</v>
      </c>
      <c r="F17" s="65" t="n">
        <f aca="false">CHOOSE(Scenarios!$C$7,C17,D17,E17)</f>
        <v>0</v>
      </c>
      <c r="G17" s="3"/>
      <c r="H17" s="3"/>
    </row>
    <row r="18" customFormat="false" ht="15" hidden="false" customHeight="false" outlineLevel="0" collapsed="false">
      <c r="A18" s="3"/>
      <c r="B18" s="63" t="s">
        <v>154</v>
      </c>
      <c r="C18" s="64" t="n">
        <v>-0.005</v>
      </c>
      <c r="D18" s="64" t="n">
        <v>0</v>
      </c>
      <c r="E18" s="64" t="n">
        <v>0.005</v>
      </c>
      <c r="F18" s="65" t="n">
        <f aca="false">CHOOSE(Scenarios!$C$7,C18,D18,E18)</f>
        <v>0</v>
      </c>
      <c r="G18" s="3"/>
      <c r="H18" s="3"/>
    </row>
    <row r="19" customFormat="false" ht="15" hidden="false" customHeight="false" outlineLevel="0" collapsed="false">
      <c r="A19" s="3"/>
      <c r="B19" s="63" t="s">
        <v>155</v>
      </c>
      <c r="C19" s="64" t="n">
        <v>-0.012</v>
      </c>
      <c r="D19" s="64" t="n">
        <v>0</v>
      </c>
      <c r="E19" s="64" t="n">
        <v>0.01</v>
      </c>
      <c r="F19" s="65" t="n">
        <f aca="false">CHOOSE(Scenarios!$C$7,C19,D19,E19)</f>
        <v>0</v>
      </c>
      <c r="G19" s="3"/>
      <c r="H19" s="3"/>
    </row>
    <row r="20" customFormat="false" ht="15" hidden="false" customHeight="false" outlineLevel="0" collapsed="false">
      <c r="A20" s="3"/>
      <c r="B20" s="63" t="s">
        <v>156</v>
      </c>
      <c r="C20" s="64" t="n">
        <v>0.01</v>
      </c>
      <c r="D20" s="64" t="n">
        <v>0</v>
      </c>
      <c r="E20" s="64" t="n">
        <v>-0.008</v>
      </c>
      <c r="F20" s="65" t="n">
        <f aca="false">CHOOSE(Scenarios!$C$7,C20,D20,E20)</f>
        <v>0</v>
      </c>
      <c r="G20" s="3"/>
      <c r="H20" s="3"/>
    </row>
    <row r="21" customFormat="false" ht="15" hidden="false" customHeight="false" outlineLevel="0" collapsed="false">
      <c r="A21" s="3"/>
      <c r="B21" s="63" t="s">
        <v>157</v>
      </c>
      <c r="C21" s="64" t="n">
        <v>-0.005</v>
      </c>
      <c r="D21" s="64" t="n">
        <v>0</v>
      </c>
      <c r="E21" s="64" t="n">
        <v>0.004</v>
      </c>
      <c r="F21" s="65" t="n">
        <f aca="false">INDEX(C21:E21,1,MATCH(Scenarios!$C$6,{"Bear","Base","Bull"},0))</f>
        <v>0</v>
      </c>
      <c r="G21" s="3"/>
      <c r="H21" s="3"/>
    </row>
    <row r="22" customFormat="false" ht="15" hidden="false" customHeight="false" outlineLevel="0" collapsed="false">
      <c r="A22" s="3"/>
      <c r="B22" s="63" t="s">
        <v>158</v>
      </c>
      <c r="C22" s="64" t="n">
        <v>0.006</v>
      </c>
      <c r="D22" s="64" t="n">
        <v>0</v>
      </c>
      <c r="E22" s="64" t="n">
        <v>-0.005</v>
      </c>
      <c r="F22" s="65" t="n">
        <f aca="false">INDEX(C22:E22,1,MATCH(Scenarios!$C$6,{"Bear","Base","Bull"},0))</f>
        <v>0</v>
      </c>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row r="25" customFormat="false" ht="15" hidden="false" customHeight="false" outlineLevel="0" collapsed="false">
      <c r="A25" s="3"/>
      <c r="B25" s="3"/>
      <c r="C25" s="3"/>
      <c r="D25" s="3"/>
      <c r="E25" s="3"/>
      <c r="F25" s="3"/>
      <c r="G25" s="3"/>
      <c r="H25" s="3"/>
    </row>
  </sheetData>
  <mergeCells count="3">
    <mergeCell ref="B1:G1"/>
    <mergeCell ref="C6:D6"/>
    <mergeCell ref="B10:G10"/>
  </mergeCells>
  <dataValidations count="1">
    <dataValidation allowBlank="false" error="Please choose Bear, Base, or Bull" errorStyle="stop" operator="between" prompt="Select a scenario" showDropDown="false" showErrorMessage="false" showInputMessage="false" sqref="C6" type="list">
      <formula1>"Bear,Base,Bull"</formula1>
      <formula2>0</formula2>
    </dataValidation>
  </dataValidation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12" min="3" style="0" width="14"/>
  </cols>
  <sheetData>
    <row r="1" customFormat="false" ht="31.5" hidden="false" customHeight="true" outlineLevel="0" collapsed="false">
      <c r="A1" s="15"/>
      <c r="B1" s="16" t="s">
        <v>159</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66" t="s">
        <v>160</v>
      </c>
      <c r="D3" s="66"/>
      <c r="E3" s="66"/>
      <c r="F3" s="66"/>
      <c r="G3" s="66"/>
      <c r="H3" s="67" t="s">
        <v>161</v>
      </c>
      <c r="I3" s="67"/>
      <c r="J3" s="67"/>
      <c r="K3" s="67"/>
      <c r="L3" s="67"/>
      <c r="M3" s="3"/>
    </row>
    <row r="4" customFormat="false" ht="15" hidden="false" customHeight="false" outlineLevel="0" collapsed="false">
      <c r="A4" s="3"/>
      <c r="B4" s="54" t="s">
        <v>162</v>
      </c>
      <c r="C4" s="68" t="n">
        <v>2021</v>
      </c>
      <c r="D4" s="68" t="n">
        <v>2022</v>
      </c>
      <c r="E4" s="68" t="n">
        <v>2023</v>
      </c>
      <c r="F4" s="68" t="n">
        <v>2024</v>
      </c>
      <c r="G4" s="68" t="n">
        <v>2025</v>
      </c>
      <c r="H4" s="69" t="n">
        <v>2026</v>
      </c>
      <c r="I4" s="69" t="n">
        <v>2027</v>
      </c>
      <c r="J4" s="69" t="n">
        <v>2028</v>
      </c>
      <c r="K4" s="69" t="n">
        <v>2029</v>
      </c>
      <c r="L4" s="69" t="n">
        <v>2030</v>
      </c>
      <c r="M4" s="3"/>
    </row>
    <row r="5" customFormat="false" ht="15" hidden="false" customHeight="false" outlineLevel="0" collapsed="false">
      <c r="A5" s="3"/>
      <c r="B5" s="30" t="s">
        <v>95</v>
      </c>
      <c r="C5" s="3"/>
      <c r="D5" s="3"/>
      <c r="E5" s="3"/>
      <c r="F5" s="3"/>
      <c r="G5" s="3"/>
      <c r="H5" s="3"/>
      <c r="I5" s="3"/>
      <c r="J5" s="3"/>
      <c r="K5" s="3"/>
      <c r="L5" s="3"/>
      <c r="M5" s="3"/>
    </row>
    <row r="6" customFormat="false" ht="21.75" hidden="false" customHeight="true" outlineLevel="0" collapsed="false">
      <c r="A6" s="3"/>
      <c r="B6" s="70" t="s">
        <v>163</v>
      </c>
      <c r="C6" s="3"/>
      <c r="D6" s="3"/>
      <c r="E6" s="3"/>
      <c r="F6" s="3"/>
      <c r="G6" s="3"/>
      <c r="H6" s="3"/>
      <c r="I6" s="3"/>
      <c r="J6" s="3"/>
      <c r="K6" s="3"/>
      <c r="L6" s="3"/>
      <c r="M6" s="3"/>
    </row>
    <row r="7" customFormat="false" ht="15" hidden="false" customHeight="false" outlineLevel="0" collapsed="false">
      <c r="A7" s="3"/>
      <c r="B7" s="38" t="s">
        <v>164</v>
      </c>
      <c r="C7" s="71" t="n">
        <v>0.031</v>
      </c>
      <c r="D7" s="71" t="n">
        <v>0.021</v>
      </c>
      <c r="E7" s="71" t="n">
        <v>0.025</v>
      </c>
      <c r="F7" s="71" t="n">
        <v>0.028</v>
      </c>
      <c r="G7" s="71" t="n">
        <v>0.023</v>
      </c>
      <c r="H7" s="71" t="n">
        <v>0.021</v>
      </c>
      <c r="I7" s="71" t="n">
        <v>0.02</v>
      </c>
      <c r="J7" s="71" t="n">
        <v>0.02</v>
      </c>
      <c r="K7" s="71" t="n">
        <v>0.019</v>
      </c>
      <c r="L7" s="71" t="n">
        <v>0.019</v>
      </c>
      <c r="M7" s="3"/>
    </row>
    <row r="8" customFormat="false" ht="15" hidden="false" customHeight="false" outlineLevel="0" collapsed="false">
      <c r="A8" s="3"/>
      <c r="B8" s="38" t="s">
        <v>165</v>
      </c>
      <c r="C8" s="72" t="n">
        <v>0.047</v>
      </c>
      <c r="D8" s="72" t="n">
        <v>0.08</v>
      </c>
      <c r="E8" s="72" t="n">
        <v>0.041</v>
      </c>
      <c r="F8" s="72" t="n">
        <v>0.03</v>
      </c>
      <c r="G8" s="72" t="n">
        <v>0.026</v>
      </c>
      <c r="H8" s="72" t="n">
        <v>0.024</v>
      </c>
      <c r="I8" s="72" t="n">
        <v>0.022</v>
      </c>
      <c r="J8" s="72" t="n">
        <v>0.021</v>
      </c>
      <c r="K8" s="72" t="n">
        <v>0.02</v>
      </c>
      <c r="L8" s="72" t="n">
        <v>0.02</v>
      </c>
      <c r="M8" s="3"/>
    </row>
    <row r="9" customFormat="false" ht="15" hidden="false" customHeight="false" outlineLevel="0" collapsed="false">
      <c r="A9" s="3"/>
      <c r="B9" s="38" t="s">
        <v>166</v>
      </c>
      <c r="C9" s="71" t="n">
        <v>0.015</v>
      </c>
      <c r="D9" s="71" t="n">
        <v>0.039</v>
      </c>
      <c r="E9" s="71" t="n">
        <v>0.04</v>
      </c>
      <c r="F9" s="71" t="n">
        <v>0.043</v>
      </c>
      <c r="G9" s="71" t="n">
        <v>0.044</v>
      </c>
      <c r="H9" s="71" t="n">
        <v>0.042</v>
      </c>
      <c r="I9" s="71" t="n">
        <v>0.04</v>
      </c>
      <c r="J9" s="71" t="n">
        <v>0.039</v>
      </c>
      <c r="K9" s="71" t="n">
        <v>0.038</v>
      </c>
      <c r="L9" s="71" t="n">
        <v>0.038</v>
      </c>
      <c r="M9" s="3"/>
    </row>
    <row r="10" customFormat="false" ht="15" hidden="false" customHeight="false" outlineLevel="0" collapsed="false">
      <c r="A10" s="3"/>
      <c r="B10" s="3"/>
      <c r="C10" s="3"/>
      <c r="D10" s="3"/>
      <c r="E10" s="3"/>
      <c r="F10" s="3"/>
      <c r="G10" s="3"/>
      <c r="H10" s="3"/>
      <c r="I10" s="3"/>
      <c r="J10" s="3"/>
      <c r="K10" s="3"/>
      <c r="L10" s="3"/>
      <c r="M10" s="3"/>
    </row>
    <row r="11" customFormat="false" ht="21.75" hidden="false" customHeight="true" outlineLevel="0" collapsed="false">
      <c r="A11" s="3"/>
      <c r="B11" s="20" t="s">
        <v>167</v>
      </c>
      <c r="C11" s="15"/>
      <c r="D11" s="15"/>
      <c r="E11" s="15"/>
      <c r="F11" s="15"/>
      <c r="G11" s="15"/>
      <c r="H11" s="15"/>
      <c r="I11" s="15"/>
      <c r="J11" s="15"/>
      <c r="K11" s="15"/>
      <c r="L11" s="15"/>
      <c r="M11" s="3"/>
    </row>
    <row r="12" customFormat="false" ht="15" hidden="false" customHeight="false" outlineLevel="0" collapsed="false">
      <c r="A12" s="3"/>
      <c r="B12" s="38" t="s">
        <v>168</v>
      </c>
      <c r="C12" s="73"/>
      <c r="D12" s="74" t="n">
        <f aca="false">IFERROR('Revenue Build'!D7/'Revenue Build'!C7-1,"")</f>
        <v>0.014018691588785</v>
      </c>
      <c r="E12" s="74" t="n">
        <f aca="false">IFERROR('Revenue Build'!E7/'Revenue Build'!D7-1,"")</f>
        <v>0.0161290322580645</v>
      </c>
      <c r="F12" s="74" t="n">
        <f aca="false">IFERROR('Revenue Build'!F7/'Revenue Build'!E7-1,"")</f>
        <v>0.00907029478458044</v>
      </c>
      <c r="G12" s="74" t="n">
        <f aca="false">IFERROR('Revenue Build'!G7/'Revenue Build'!F7-1,"")</f>
        <v>0.0134831460674156</v>
      </c>
      <c r="H12" s="75" t="n">
        <f aca="false">0.01+Scenarios!$F$13</f>
        <v>0.01</v>
      </c>
      <c r="I12" s="75" t="n">
        <f aca="false">0.01+Scenarios!$F$13</f>
        <v>0.01</v>
      </c>
      <c r="J12" s="75" t="n">
        <f aca="false">0.009+Scenarios!$F$13</f>
        <v>0.009</v>
      </c>
      <c r="K12" s="75" t="n">
        <f aca="false">0.009+Scenarios!$F$13</f>
        <v>0.009</v>
      </c>
      <c r="L12" s="75" t="n">
        <f aca="false">0.008+Scenarios!$F$13</f>
        <v>0.008</v>
      </c>
      <c r="M12" s="3"/>
    </row>
    <row r="13" customFormat="false" ht="15" hidden="false" customHeight="false" outlineLevel="0" collapsed="false">
      <c r="A13" s="3"/>
      <c r="B13" s="38" t="s">
        <v>169</v>
      </c>
      <c r="C13" s="73"/>
      <c r="D13" s="74" t="n">
        <f aca="false">IFERROR('Revenue Build'!D8/'Revenue Build'!C8-1,"")</f>
        <v>0.0308333333333333</v>
      </c>
      <c r="E13" s="74" t="n">
        <f aca="false">IFERROR('Revenue Build'!E8/'Revenue Build'!D8-1,"")</f>
        <v>0.0371867421180276</v>
      </c>
      <c r="F13" s="74" t="n">
        <f aca="false">IFERROR('Revenue Build'!F8/'Revenue Build'!E8-1,"")</f>
        <v>0.0285268901013249</v>
      </c>
      <c r="G13" s="74" t="n">
        <f aca="false">IFERROR('Revenue Build'!G8/'Revenue Build'!F8-1,"")</f>
        <v>0.0275841163989086</v>
      </c>
      <c r="H13" s="75" t="n">
        <f aca="false">0.023+Scenarios!$F$16</f>
        <v>0.023</v>
      </c>
      <c r="I13" s="75" t="n">
        <f aca="false">0.021+Scenarios!$F$16</f>
        <v>0.021</v>
      </c>
      <c r="J13" s="75" t="n">
        <f aca="false">0.02+Scenarios!$F$16</f>
        <v>0.02</v>
      </c>
      <c r="K13" s="75" t="n">
        <f aca="false">0.019+Scenarios!$F$16</f>
        <v>0.019</v>
      </c>
      <c r="L13" s="75" t="n">
        <f aca="false">0.019+Scenarios!$F$16</f>
        <v>0.019</v>
      </c>
      <c r="M13" s="3"/>
    </row>
    <row r="14" customFormat="false" ht="15" hidden="false" customHeight="false" outlineLevel="0" collapsed="false">
      <c r="A14" s="3"/>
      <c r="B14" s="38" t="s">
        <v>170</v>
      </c>
      <c r="C14" s="73"/>
      <c r="D14" s="74" t="n">
        <f aca="false">IFERROR('Revenue Build'!D12/'Revenue Build'!C12-1,"")</f>
        <v>0.0941176470588236</v>
      </c>
      <c r="E14" s="74" t="n">
        <f aca="false">IFERROR('Revenue Build'!E12/'Revenue Build'!D12-1,"")</f>
        <v>0.10752688172043</v>
      </c>
      <c r="F14" s="74" t="n">
        <f aca="false">IFERROR('Revenue Build'!F12/'Revenue Build'!E12-1,"")</f>
        <v>0.106796116504854</v>
      </c>
      <c r="G14" s="74" t="n">
        <f aca="false">IFERROR('Revenue Build'!G12/'Revenue Build'!F12-1,"")</f>
        <v>0.0964912280701755</v>
      </c>
      <c r="H14" s="75" t="n">
        <f aca="false">0.065+Scenarios!$F$14</f>
        <v>0.065</v>
      </c>
      <c r="I14" s="75" t="n">
        <f aca="false">0.06+Scenarios!$F$14</f>
        <v>0.06</v>
      </c>
      <c r="J14" s="75" t="n">
        <f aca="false">0.055+Scenarios!$F$14</f>
        <v>0.055</v>
      </c>
      <c r="K14" s="75" t="n">
        <f aca="false">0.05+Scenarios!$F$14</f>
        <v>0.05</v>
      </c>
      <c r="L14" s="75" t="n">
        <f aca="false">0.045+Scenarios!$F$14</f>
        <v>0.045</v>
      </c>
      <c r="M14" s="3"/>
    </row>
    <row r="15" customFormat="false" ht="15" hidden="false" customHeight="false" outlineLevel="0" collapsed="false">
      <c r="A15" s="3"/>
      <c r="B15" s="38" t="s">
        <v>171</v>
      </c>
      <c r="C15" s="73"/>
      <c r="D15" s="74" t="n">
        <f aca="false">IFERROR('Revenue Build'!D13/'Revenue Build'!C13-1,"")</f>
        <v>0.0316727803415768</v>
      </c>
      <c r="E15" s="74" t="n">
        <f aca="false">IFERROR('Revenue Build'!E13/'Revenue Build'!D13-1,"")</f>
        <v>0.0448845389203243</v>
      </c>
      <c r="F15" s="74" t="n">
        <f aca="false">IFERROR('Revenue Build'!F13/'Revenue Build'!E13-1,"")</f>
        <v>0.0302963776070251</v>
      </c>
      <c r="G15" s="74" t="n">
        <f aca="false">IFERROR('Revenue Build'!G13/'Revenue Build'!F13-1,"")</f>
        <v>0.0348746359826693</v>
      </c>
      <c r="H15" s="75" t="n">
        <f aca="false">0.028+Scenarios!$F$17</f>
        <v>0.028</v>
      </c>
      <c r="I15" s="75" t="n">
        <f aca="false">0.027+Scenarios!$F$17</f>
        <v>0.027</v>
      </c>
      <c r="J15" s="75" t="n">
        <f aca="false">0.026+Scenarios!$F$17</f>
        <v>0.026</v>
      </c>
      <c r="K15" s="75" t="n">
        <f aca="false">0.025+Scenarios!$F$17</f>
        <v>0.025</v>
      </c>
      <c r="L15" s="75" t="n">
        <f aca="false">0.024+Scenarios!$F$17</f>
        <v>0.024</v>
      </c>
      <c r="M15" s="3"/>
    </row>
    <row r="16" customFormat="false" ht="15" hidden="false" customHeight="false" outlineLevel="0" collapsed="false">
      <c r="A16" s="3"/>
      <c r="B16" s="38" t="s">
        <v>172</v>
      </c>
      <c r="C16" s="73"/>
      <c r="D16" s="74" t="n">
        <f aca="false">IFERROR('Revenue Build'!D17/'Revenue Build'!C17-1,"")</f>
        <v>0.0256410256410256</v>
      </c>
      <c r="E16" s="74" t="n">
        <f aca="false">IFERROR('Revenue Build'!E17/'Revenue Build'!D17-1,"")</f>
        <v>0.05</v>
      </c>
      <c r="F16" s="74" t="n">
        <f aca="false">IFERROR('Revenue Build'!F17/'Revenue Build'!E17-1,"")</f>
        <v>0.0476190476190477</v>
      </c>
      <c r="G16" s="74" t="n">
        <f aca="false">IFERROR('Revenue Build'!G17/'Revenue Build'!F17-1,"")</f>
        <v>0.0454545454545454</v>
      </c>
      <c r="H16" s="75" t="n">
        <f aca="false">0.03+Scenarios!$F$15</f>
        <v>0.03</v>
      </c>
      <c r="I16" s="75" t="n">
        <f aca="false">0.028+Scenarios!$F$15</f>
        <v>0.028</v>
      </c>
      <c r="J16" s="75" t="n">
        <f aca="false">0.026+Scenarios!$F$15</f>
        <v>0.026</v>
      </c>
      <c r="K16" s="75" t="n">
        <f aca="false">0.024+Scenarios!$F$15</f>
        <v>0.024</v>
      </c>
      <c r="L16" s="75" t="n">
        <f aca="false">0.022+Scenarios!$F$15</f>
        <v>0.022</v>
      </c>
      <c r="M16" s="3"/>
    </row>
    <row r="17" customFormat="false" ht="15" hidden="false" customHeight="false" outlineLevel="0" collapsed="false">
      <c r="A17" s="3"/>
      <c r="B17" s="38" t="s">
        <v>173</v>
      </c>
      <c r="C17" s="73"/>
      <c r="D17" s="74" t="n">
        <f aca="false">IFERROR('Revenue Build'!D18/'Revenue Build'!C18-1,"")</f>
        <v>0.0356063198722336</v>
      </c>
      <c r="E17" s="74" t="n">
        <f aca="false">IFERROR('Revenue Build'!E18/'Revenue Build'!D18-1,"")</f>
        <v>0.0474561101549054</v>
      </c>
      <c r="F17" s="74" t="n">
        <f aca="false">IFERROR('Revenue Build'!F18/'Revenue Build'!E18-1,"")</f>
        <v>0.0337182781987997</v>
      </c>
      <c r="G17" s="74" t="n">
        <f aca="false">IFERROR('Revenue Build'!G18/'Revenue Build'!F18-1,"")</f>
        <v>0.0546629109891716</v>
      </c>
      <c r="H17" s="75" t="n">
        <f aca="false">0.026+Scenarios!$F$18</f>
        <v>0.026</v>
      </c>
      <c r="I17" s="75" t="n">
        <f aca="false">0.025+Scenarios!$F$18</f>
        <v>0.025</v>
      </c>
      <c r="J17" s="75" t="n">
        <f aca="false">0.024+Scenarios!$F$18</f>
        <v>0.024</v>
      </c>
      <c r="K17" s="75" t="n">
        <f aca="false">0.023+Scenarios!$F$18</f>
        <v>0.023</v>
      </c>
      <c r="L17" s="75" t="n">
        <f aca="false">0.022+Scenarios!$F$18</f>
        <v>0.022</v>
      </c>
      <c r="M17" s="3"/>
    </row>
    <row r="18" customFormat="false" ht="15" hidden="false" customHeight="false" outlineLevel="0" collapsed="false">
      <c r="A18" s="3"/>
      <c r="B18" s="3"/>
      <c r="C18" s="3"/>
      <c r="D18" s="3"/>
      <c r="E18" s="3"/>
      <c r="F18" s="3"/>
      <c r="G18" s="3"/>
      <c r="H18" s="3"/>
      <c r="I18" s="3"/>
      <c r="J18" s="3"/>
      <c r="K18" s="3"/>
      <c r="L18" s="3"/>
      <c r="M18" s="3"/>
    </row>
    <row r="19" customFormat="false" ht="21.75" hidden="false" customHeight="true" outlineLevel="0" collapsed="false">
      <c r="A19" s="3"/>
      <c r="B19" s="20" t="s">
        <v>174</v>
      </c>
      <c r="C19" s="15"/>
      <c r="D19" s="15"/>
      <c r="E19" s="15"/>
      <c r="F19" s="15"/>
      <c r="G19" s="15"/>
      <c r="H19" s="15"/>
      <c r="I19" s="15"/>
      <c r="J19" s="15"/>
      <c r="K19" s="15"/>
      <c r="L19" s="15"/>
      <c r="M19" s="3"/>
    </row>
    <row r="20" customFormat="false" ht="15" hidden="false" customHeight="false" outlineLevel="0" collapsed="false">
      <c r="A20" s="3"/>
      <c r="B20" s="76" t="s">
        <v>175</v>
      </c>
      <c r="C20" s="73"/>
      <c r="D20" s="77" t="n">
        <f aca="false">IFERROR('Revenue Build'!D9/'Revenue Build'!C9-1,"")</f>
        <v>0.0452842679127725</v>
      </c>
      <c r="E20" s="77" t="n">
        <f aca="false">IFERROR('Revenue Build'!E9/'Revenue Build'!D9-1,"")</f>
        <v>0.053915560539286</v>
      </c>
      <c r="F20" s="77" t="n">
        <f aca="false">IFERROR('Revenue Build'!F9/'Revenue Build'!E9-1,"")</f>
        <v>0.0378559321884118</v>
      </c>
      <c r="G20" s="77" t="n">
        <f aca="false">IFERROR('Revenue Build'!G9/'Revenue Build'!F9-1,"")</f>
        <v>0.0414391831368717</v>
      </c>
      <c r="H20" s="77" t="n">
        <f aca="false">IFERROR('Revenue Build'!H9/'Revenue Build'!G9-1,"")</f>
        <v>0.0332299999999999</v>
      </c>
      <c r="I20" s="77" t="n">
        <f aca="false">IFERROR('Revenue Build'!I9/'Revenue Build'!H9-1,"")</f>
        <v>0.03121</v>
      </c>
      <c r="J20" s="77" t="n">
        <f aca="false">IFERROR('Revenue Build'!J9/'Revenue Build'!I9-1,"")</f>
        <v>0.0291799999999998</v>
      </c>
      <c r="K20" s="77" t="n">
        <f aca="false">IFERROR('Revenue Build'!K9/'Revenue Build'!J9-1,"")</f>
        <v>0.0281709999999997</v>
      </c>
      <c r="L20" s="77" t="n">
        <f aca="false">IFERROR('Revenue Build'!L9/'Revenue Build'!K9-1,"")</f>
        <v>0.0271520000000001</v>
      </c>
      <c r="M20" s="3"/>
    </row>
    <row r="21" customFormat="false" ht="15" hidden="false" customHeight="false" outlineLevel="0" collapsed="false">
      <c r="A21" s="3"/>
      <c r="B21" s="76" t="s">
        <v>176</v>
      </c>
      <c r="C21" s="73"/>
      <c r="D21" s="77" t="n">
        <f aca="false">IFERROR('Revenue Build'!D14/'Revenue Build'!C14-1,"")</f>
        <v>0.128771394961961</v>
      </c>
      <c r="E21" s="77" t="n">
        <f aca="false">IFERROR('Revenue Build'!E14/'Revenue Build'!D14-1,"")</f>
        <v>0.157237715148316</v>
      </c>
      <c r="F21" s="77" t="n">
        <f aca="false">IFERROR('Revenue Build'!F14/'Revenue Build'!E14-1,"")</f>
        <v>0.140328029584474</v>
      </c>
      <c r="G21" s="77" t="n">
        <f aca="false">IFERROR('Revenue Build'!G14/'Revenue Build'!F14-1,"")</f>
        <v>0.134730960507313</v>
      </c>
      <c r="H21" s="77" t="n">
        <f aca="false">IFERROR('Revenue Build'!H14/'Revenue Build'!G14-1,"")</f>
        <v>0.0948199999999999</v>
      </c>
      <c r="I21" s="77" t="n">
        <f aca="false">IFERROR('Revenue Build'!I14/'Revenue Build'!H14-1,"")</f>
        <v>0.0886199999999999</v>
      </c>
      <c r="J21" s="77" t="n">
        <f aca="false">IFERROR('Revenue Build'!J14/'Revenue Build'!I14-1,"")</f>
        <v>0.08243</v>
      </c>
      <c r="K21" s="77" t="n">
        <f aca="false">IFERROR('Revenue Build'!K14/'Revenue Build'!J14-1,"")</f>
        <v>0.0762499999999999</v>
      </c>
      <c r="L21" s="77" t="n">
        <f aca="false">IFERROR('Revenue Build'!L14/'Revenue Build'!K14-1,"")</f>
        <v>0.0700799999999999</v>
      </c>
      <c r="M21" s="3"/>
    </row>
    <row r="22" customFormat="false" ht="15" hidden="false" customHeight="false" outlineLevel="0" collapsed="false">
      <c r="A22" s="3"/>
      <c r="B22" s="76" t="s">
        <v>177</v>
      </c>
      <c r="C22" s="73"/>
      <c r="D22" s="77" t="n">
        <f aca="false">IFERROR('Revenue Build'!D19/'Revenue Build'!C19-1,"")</f>
        <v>0.0621603280740859</v>
      </c>
      <c r="E22" s="77" t="n">
        <f aca="false">IFERROR('Revenue Build'!E19/'Revenue Build'!D19-1,"")</f>
        <v>0.0998289156626506</v>
      </c>
      <c r="F22" s="77" t="n">
        <f aca="false">IFERROR('Revenue Build'!F19/'Revenue Build'!E19-1,"")</f>
        <v>0.0829429581130283</v>
      </c>
      <c r="G22" s="77" t="n">
        <f aca="false">IFERROR('Revenue Build'!G19/'Revenue Build'!F19-1,"")</f>
        <v>0.102602134215952</v>
      </c>
      <c r="H22" s="77" t="n">
        <f aca="false">IFERROR('Revenue Build'!H19/'Revenue Build'!G19-1,"")</f>
        <v>0.0567800000000001</v>
      </c>
      <c r="I22" s="77" t="n">
        <f aca="false">IFERROR('Revenue Build'!I19/'Revenue Build'!H19-1,"")</f>
        <v>0.0537000000000001</v>
      </c>
      <c r="J22" s="77" t="n">
        <f aca="false">IFERROR('Revenue Build'!J19/'Revenue Build'!I19-1,"")</f>
        <v>0.050624</v>
      </c>
      <c r="K22" s="77" t="n">
        <f aca="false">IFERROR('Revenue Build'!K19/'Revenue Build'!J19-1,"")</f>
        <v>0.0475519999999998</v>
      </c>
      <c r="L22" s="77" t="n">
        <f aca="false">IFERROR('Revenue Build'!L19/'Revenue Build'!K19-1,"")</f>
        <v>0.0444840000000002</v>
      </c>
      <c r="M22" s="3"/>
    </row>
    <row r="23" customFormat="false" ht="15" hidden="false" customHeight="false" outlineLevel="0" collapsed="false">
      <c r="A23" s="3"/>
      <c r="B23" s="3"/>
      <c r="C23" s="3"/>
      <c r="D23" s="3"/>
      <c r="E23" s="3"/>
      <c r="F23" s="3"/>
      <c r="G23" s="3"/>
      <c r="H23" s="3"/>
      <c r="I23" s="3"/>
      <c r="J23" s="3"/>
      <c r="K23" s="3"/>
      <c r="L23" s="3"/>
      <c r="M23" s="3"/>
    </row>
    <row r="24" customFormat="false" ht="21.75" hidden="false" customHeight="true" outlineLevel="0" collapsed="false">
      <c r="A24" s="3"/>
      <c r="B24" s="70" t="s">
        <v>178</v>
      </c>
      <c r="C24" s="3"/>
      <c r="D24" s="3"/>
      <c r="E24" s="3"/>
      <c r="F24" s="3"/>
      <c r="G24" s="3"/>
      <c r="H24" s="3"/>
      <c r="I24" s="3"/>
      <c r="J24" s="3"/>
      <c r="K24" s="3"/>
      <c r="L24" s="3"/>
      <c r="M24" s="3"/>
    </row>
    <row r="25" customFormat="false" ht="15" hidden="false" customHeight="false" outlineLevel="0" collapsed="false">
      <c r="A25" s="3"/>
      <c r="B25" s="38" t="s">
        <v>179</v>
      </c>
      <c r="C25" s="71" t="n">
        <v>0.56</v>
      </c>
      <c r="D25" s="71" t="n">
        <v>0.565</v>
      </c>
      <c r="E25" s="71" t="n">
        <v>0.57</v>
      </c>
      <c r="F25" s="71" t="n">
        <v>0.575</v>
      </c>
      <c r="G25" s="71" t="n">
        <v>0.58</v>
      </c>
      <c r="H25" s="75" t="n">
        <f aca="false">0.583+Scenarios!$F$19</f>
        <v>0.583</v>
      </c>
      <c r="I25" s="75" t="n">
        <f aca="false">0.586+Scenarios!$F$19</f>
        <v>0.586</v>
      </c>
      <c r="J25" s="75" t="n">
        <f aca="false">0.589+Scenarios!$F$19</f>
        <v>0.589</v>
      </c>
      <c r="K25" s="75" t="n">
        <f aca="false">0.591+Scenarios!$F$19</f>
        <v>0.591</v>
      </c>
      <c r="L25" s="75" t="n">
        <f aca="false">0.593+Scenarios!$F$19</f>
        <v>0.593</v>
      </c>
      <c r="M25" s="3"/>
    </row>
    <row r="26" customFormat="false" ht="15" hidden="false" customHeight="false" outlineLevel="0" collapsed="false">
      <c r="A26" s="3"/>
      <c r="B26" s="38" t="s">
        <v>180</v>
      </c>
      <c r="C26" s="72" t="n">
        <v>0.34</v>
      </c>
      <c r="D26" s="72" t="n">
        <v>0.335</v>
      </c>
      <c r="E26" s="72" t="n">
        <v>0.33</v>
      </c>
      <c r="F26" s="72" t="n">
        <v>0.325</v>
      </c>
      <c r="G26" s="72" t="n">
        <v>0.32</v>
      </c>
      <c r="H26" s="75" t="n">
        <f aca="false">0.317+Scenarios!$F$20</f>
        <v>0.317</v>
      </c>
      <c r="I26" s="75" t="n">
        <f aca="false">0.314+Scenarios!$F$20</f>
        <v>0.314</v>
      </c>
      <c r="J26" s="75" t="n">
        <f aca="false">0.311+Scenarios!$F$20</f>
        <v>0.311</v>
      </c>
      <c r="K26" s="75" t="n">
        <f aca="false">0.309+Scenarios!$F$20</f>
        <v>0.309</v>
      </c>
      <c r="L26" s="75" t="n">
        <f aca="false">0.307+Scenarios!$F$20</f>
        <v>0.307</v>
      </c>
      <c r="M26" s="3"/>
    </row>
    <row r="27" customFormat="false" ht="15" hidden="false" customHeight="false" outlineLevel="0" collapsed="false">
      <c r="A27" s="3"/>
      <c r="B27" s="38" t="s">
        <v>181</v>
      </c>
      <c r="C27" s="71" t="n">
        <v>0.04</v>
      </c>
      <c r="D27" s="71" t="n">
        <v>0.039</v>
      </c>
      <c r="E27" s="71" t="n">
        <v>0.038</v>
      </c>
      <c r="F27" s="71" t="n">
        <v>0.037</v>
      </c>
      <c r="G27" s="71" t="n">
        <v>0.036</v>
      </c>
      <c r="H27" s="71" t="n">
        <v>0.036</v>
      </c>
      <c r="I27" s="71" t="n">
        <v>0.035</v>
      </c>
      <c r="J27" s="71" t="n">
        <v>0.035</v>
      </c>
      <c r="K27" s="71" t="n">
        <v>0.034</v>
      </c>
      <c r="L27" s="71" t="n">
        <v>0.034</v>
      </c>
      <c r="M27" s="3"/>
    </row>
    <row r="28" customFormat="false" ht="15" hidden="false" customHeight="false" outlineLevel="0" collapsed="false">
      <c r="A28" s="3"/>
      <c r="B28" s="38" t="s">
        <v>182</v>
      </c>
      <c r="C28" s="72" t="n">
        <v>0.26</v>
      </c>
      <c r="D28" s="72" t="n">
        <v>0.255</v>
      </c>
      <c r="E28" s="72" t="n">
        <v>0.255</v>
      </c>
      <c r="F28" s="72" t="n">
        <v>0.25</v>
      </c>
      <c r="G28" s="72" t="n">
        <v>0.25</v>
      </c>
      <c r="H28" s="72" t="n">
        <v>0.245</v>
      </c>
      <c r="I28" s="72" t="n">
        <v>0.245</v>
      </c>
      <c r="J28" s="72" t="n">
        <v>0.24</v>
      </c>
      <c r="K28" s="72" t="n">
        <v>0.24</v>
      </c>
      <c r="L28" s="72" t="n">
        <v>0.24</v>
      </c>
      <c r="M28" s="3"/>
    </row>
    <row r="29" customFormat="false" ht="15" hidden="false" customHeight="false" outlineLevel="0" collapsed="false">
      <c r="A29" s="3"/>
      <c r="B29" s="38" t="s">
        <v>183</v>
      </c>
      <c r="C29" s="71" t="n">
        <v>0.042</v>
      </c>
      <c r="D29" s="71" t="n">
        <v>0.04</v>
      </c>
      <c r="E29" s="71" t="n">
        <v>0.039</v>
      </c>
      <c r="F29" s="71" t="n">
        <v>0.037</v>
      </c>
      <c r="G29" s="71" t="n">
        <v>0.036</v>
      </c>
      <c r="H29" s="71" t="n">
        <v>0.036</v>
      </c>
      <c r="I29" s="71" t="n">
        <v>0.035</v>
      </c>
      <c r="J29" s="71" t="n">
        <v>0.035</v>
      </c>
      <c r="K29" s="71" t="n">
        <v>0.034</v>
      </c>
      <c r="L29" s="71" t="n">
        <v>0.034</v>
      </c>
      <c r="M29" s="3"/>
    </row>
    <row r="30" customFormat="false" ht="15" hidden="false" customHeight="false" outlineLevel="0" collapsed="false">
      <c r="A30" s="3"/>
      <c r="B30" s="54" t="s">
        <v>184</v>
      </c>
      <c r="C30" s="78" t="s">
        <v>185</v>
      </c>
      <c r="D30" s="3"/>
      <c r="E30" s="3"/>
      <c r="F30" s="3"/>
      <c r="G30" s="3"/>
      <c r="H30" s="3"/>
      <c r="I30" s="3"/>
      <c r="J30" s="3"/>
      <c r="K30" s="3"/>
      <c r="L30" s="3"/>
      <c r="M30" s="3"/>
    </row>
    <row r="31" customFormat="false" ht="15" hidden="false" customHeight="false" outlineLevel="0" collapsed="false">
      <c r="A31" s="3"/>
      <c r="B31" s="3"/>
      <c r="C31" s="3"/>
      <c r="D31" s="3"/>
      <c r="E31" s="3"/>
      <c r="F31" s="3"/>
      <c r="G31" s="3"/>
      <c r="H31" s="3"/>
      <c r="I31" s="3"/>
      <c r="J31" s="3"/>
      <c r="K31" s="3"/>
      <c r="L31" s="3"/>
      <c r="M31" s="3"/>
    </row>
    <row r="32" customFormat="false" ht="21.75" hidden="false" customHeight="true" outlineLevel="0" collapsed="false">
      <c r="A32" s="3"/>
      <c r="B32" s="70" t="s">
        <v>186</v>
      </c>
      <c r="C32" s="3"/>
      <c r="D32" s="3"/>
      <c r="E32" s="3"/>
      <c r="F32" s="3"/>
      <c r="G32" s="3"/>
      <c r="H32" s="3"/>
      <c r="I32" s="3"/>
      <c r="J32" s="3"/>
      <c r="K32" s="3"/>
      <c r="L32" s="3"/>
      <c r="M32" s="3"/>
    </row>
    <row r="33" customFormat="false" ht="15" hidden="false" customHeight="false" outlineLevel="0" collapsed="false">
      <c r="A33" s="3"/>
      <c r="B33" s="38" t="s">
        <v>187</v>
      </c>
      <c r="C33" s="74" t="n">
        <f aca="false">Assumptions!H9</f>
        <v>0.042</v>
      </c>
      <c r="D33" s="3"/>
      <c r="E33" s="3"/>
      <c r="F33" s="3"/>
      <c r="G33" s="3"/>
      <c r="H33" s="3"/>
      <c r="I33" s="3"/>
      <c r="J33" s="3"/>
      <c r="K33" s="3"/>
      <c r="L33" s="3"/>
      <c r="M33" s="3"/>
    </row>
    <row r="34" customFormat="false" ht="15" hidden="false" customHeight="false" outlineLevel="0" collapsed="false">
      <c r="A34" s="3"/>
      <c r="B34" s="38" t="s">
        <v>188</v>
      </c>
      <c r="C34" s="72" t="n">
        <v>0.055</v>
      </c>
      <c r="D34" s="3"/>
      <c r="E34" s="3"/>
      <c r="F34" s="3"/>
      <c r="G34" s="3"/>
      <c r="H34" s="3"/>
      <c r="I34" s="3"/>
      <c r="J34" s="3"/>
      <c r="K34" s="3"/>
      <c r="L34" s="3"/>
      <c r="M34" s="3"/>
    </row>
    <row r="35" customFormat="false" ht="15" hidden="false" customHeight="false" outlineLevel="0" collapsed="false">
      <c r="A35" s="3"/>
      <c r="B35" s="38" t="s">
        <v>189</v>
      </c>
      <c r="C35" s="79" t="n">
        <f aca="false">Econometrics!H8</f>
        <v>1.30852685589835</v>
      </c>
      <c r="D35" s="3"/>
      <c r="E35" s="3"/>
      <c r="F35" s="3"/>
      <c r="G35" s="3"/>
      <c r="H35" s="3"/>
      <c r="I35" s="3"/>
      <c r="J35" s="3"/>
      <c r="K35" s="3"/>
      <c r="L35" s="3"/>
      <c r="M35" s="3"/>
    </row>
    <row r="36" customFormat="false" ht="15" hidden="false" customHeight="false" outlineLevel="0" collapsed="false">
      <c r="A36" s="3"/>
      <c r="B36" s="80" t="s">
        <v>190</v>
      </c>
      <c r="C36" s="81" t="n">
        <f aca="false">C33+C35*C34</f>
        <v>0.113968977074409</v>
      </c>
      <c r="D36" s="3"/>
      <c r="E36" s="3"/>
      <c r="F36" s="3"/>
      <c r="G36" s="3"/>
      <c r="H36" s="3"/>
      <c r="I36" s="3"/>
      <c r="J36" s="3"/>
      <c r="K36" s="3"/>
      <c r="L36" s="3"/>
      <c r="M36" s="3"/>
    </row>
    <row r="37" customFormat="false" ht="15" hidden="false" customHeight="false" outlineLevel="0" collapsed="false">
      <c r="A37" s="3"/>
      <c r="B37" s="38" t="s">
        <v>191</v>
      </c>
      <c r="C37" s="71" t="n">
        <v>0.055</v>
      </c>
      <c r="D37" s="3"/>
      <c r="E37" s="3"/>
      <c r="F37" s="3"/>
      <c r="G37" s="3"/>
      <c r="H37" s="3"/>
      <c r="I37" s="3"/>
      <c r="J37" s="3"/>
      <c r="K37" s="3"/>
      <c r="L37" s="3"/>
      <c r="M37" s="3"/>
    </row>
    <row r="38" customFormat="false" ht="15" hidden="false" customHeight="false" outlineLevel="0" collapsed="false">
      <c r="A38" s="3"/>
      <c r="B38" s="38" t="s">
        <v>192</v>
      </c>
      <c r="C38" s="82" t="n">
        <f aca="false">C37*(1-L28)</f>
        <v>0.0418</v>
      </c>
      <c r="D38" s="3"/>
      <c r="E38" s="3"/>
      <c r="F38" s="3"/>
      <c r="G38" s="3"/>
      <c r="H38" s="3"/>
      <c r="I38" s="3"/>
      <c r="J38" s="3"/>
      <c r="K38" s="3"/>
      <c r="L38" s="3"/>
      <c r="M38" s="3"/>
    </row>
    <row r="39" customFormat="false" ht="15" hidden="false" customHeight="false" outlineLevel="0" collapsed="false">
      <c r="A39" s="3"/>
      <c r="B39" s="38" t="s">
        <v>193</v>
      </c>
      <c r="C39" s="71" t="n">
        <v>0.2</v>
      </c>
      <c r="D39" s="3"/>
      <c r="E39" s="3"/>
      <c r="F39" s="3"/>
      <c r="G39" s="3"/>
      <c r="H39" s="3"/>
      <c r="I39" s="3"/>
      <c r="J39" s="3"/>
      <c r="K39" s="3"/>
      <c r="L39" s="3"/>
      <c r="M39" s="3"/>
    </row>
    <row r="40" customFormat="false" ht="15" hidden="false" customHeight="false" outlineLevel="0" collapsed="false">
      <c r="A40" s="3"/>
      <c r="B40" s="80" t="s">
        <v>194</v>
      </c>
      <c r="C40" s="81" t="n">
        <f aca="false">C36*(1-C39)+C38*C39+Scenarios!$F$22</f>
        <v>0.0995351816595274</v>
      </c>
      <c r="D40" s="3"/>
      <c r="E40" s="3"/>
      <c r="F40" s="3"/>
      <c r="G40" s="3"/>
      <c r="H40" s="3"/>
      <c r="I40" s="3"/>
      <c r="J40" s="3"/>
      <c r="K40" s="3"/>
      <c r="L40" s="3"/>
      <c r="M40" s="3"/>
    </row>
    <row r="41" customFormat="false" ht="15" hidden="false" customHeight="false" outlineLevel="0" collapsed="false">
      <c r="A41" s="3"/>
      <c r="B41" s="38" t="s">
        <v>195</v>
      </c>
      <c r="C41" s="82" t="n">
        <f aca="false">0.023+Scenarios!$F$21</f>
        <v>0.023</v>
      </c>
      <c r="D41" s="3"/>
      <c r="E41" s="3"/>
      <c r="F41" s="3"/>
      <c r="G41" s="3"/>
      <c r="H41" s="3"/>
      <c r="I41" s="3"/>
      <c r="J41" s="3"/>
      <c r="K41" s="3"/>
      <c r="L41" s="3"/>
      <c r="M41" s="3"/>
    </row>
    <row r="42" customFormat="false" ht="15" hidden="false" customHeight="false" outlineLevel="0" collapsed="false">
      <c r="A42" s="3"/>
      <c r="B42" s="38" t="s">
        <v>196</v>
      </c>
      <c r="C42" s="83" t="n">
        <v>48.5</v>
      </c>
      <c r="D42" s="3"/>
      <c r="E42" s="3"/>
      <c r="F42" s="3"/>
      <c r="G42" s="3"/>
      <c r="H42" s="3"/>
      <c r="I42" s="3"/>
      <c r="J42" s="3"/>
      <c r="K42" s="3"/>
      <c r="L42" s="3"/>
      <c r="M42" s="3"/>
    </row>
    <row r="43" customFormat="false" ht="15" hidden="false" customHeight="false" outlineLevel="0" collapsed="false">
      <c r="A43" s="3"/>
      <c r="B43" s="38" t="s">
        <v>197</v>
      </c>
      <c r="C43" s="84" t="n">
        <v>55000</v>
      </c>
      <c r="D43" s="85" t="s">
        <v>198</v>
      </c>
      <c r="E43" s="3"/>
      <c r="F43" s="3"/>
      <c r="G43" s="3"/>
      <c r="H43" s="3"/>
      <c r="I43" s="3"/>
      <c r="J43" s="3"/>
      <c r="K43" s="3"/>
      <c r="L43" s="3"/>
      <c r="M43" s="3"/>
    </row>
    <row r="44" customFormat="false" ht="15" hidden="false" customHeight="false" outlineLevel="0" collapsed="false">
      <c r="A44" s="3"/>
      <c r="B44" s="38" t="s">
        <v>199</v>
      </c>
      <c r="C44" s="86" t="n">
        <v>50000</v>
      </c>
      <c r="D44" s="3"/>
      <c r="E44" s="3"/>
      <c r="F44" s="3"/>
      <c r="G44" s="3"/>
      <c r="H44" s="3"/>
      <c r="I44" s="3"/>
      <c r="J44" s="3"/>
      <c r="K44" s="3"/>
      <c r="L44" s="3"/>
      <c r="M44" s="3"/>
    </row>
    <row r="45" customFormat="false" ht="15" hidden="false" customHeight="false" outlineLevel="0" collapsed="false">
      <c r="A45" s="3"/>
      <c r="B45" s="3"/>
      <c r="C45" s="3"/>
      <c r="D45" s="3"/>
      <c r="E45" s="3"/>
      <c r="F45" s="3"/>
      <c r="G45" s="3"/>
      <c r="H45" s="3"/>
      <c r="I45" s="3"/>
      <c r="J45" s="3"/>
      <c r="K45" s="3"/>
      <c r="L45" s="3"/>
      <c r="M45" s="3"/>
    </row>
    <row r="46" customFormat="false" ht="15" hidden="false" customHeight="false" outlineLevel="0" collapsed="false">
      <c r="A46" s="3"/>
      <c r="B46" s="3"/>
      <c r="C46" s="3"/>
      <c r="D46" s="3"/>
      <c r="E46" s="3"/>
      <c r="F46" s="3"/>
      <c r="G46" s="3"/>
      <c r="H46" s="3"/>
      <c r="I46" s="3"/>
      <c r="J46" s="3"/>
      <c r="K46" s="3"/>
      <c r="L46" s="3"/>
      <c r="M46" s="3"/>
    </row>
  </sheetData>
  <mergeCells count="3">
    <mergeCell ref="B1:L1"/>
    <mergeCell ref="C3:G3"/>
    <mergeCell ref="H3:L3"/>
  </mergeCells>
  <hyperlinks>
    <hyperlink ref="C30" r:id="rId1" location="'Working%20Capital'!A1" display="see 'Working Capital' tab"/>
  </hyperlink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D2B"/>
    <pageSetUpPr fitToPage="true"/>
  </sheetPr>
  <dimension ref="A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12" min="3" style="0" width="14"/>
  </cols>
  <sheetData>
    <row r="1" customFormat="false" ht="31.5" hidden="false" customHeight="true" outlineLevel="0" collapsed="false">
      <c r="A1" s="15"/>
      <c r="B1" s="16" t="s">
        <v>200</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66" t="s">
        <v>160</v>
      </c>
      <c r="D3" s="66"/>
      <c r="E3" s="66"/>
      <c r="F3" s="66"/>
      <c r="G3" s="66"/>
      <c r="H3" s="67" t="s">
        <v>161</v>
      </c>
      <c r="I3" s="67"/>
      <c r="J3" s="67"/>
      <c r="K3" s="67"/>
      <c r="L3" s="67"/>
      <c r="M3" s="3"/>
    </row>
    <row r="4" customFormat="false" ht="15" hidden="false" customHeight="false" outlineLevel="0" collapsed="false">
      <c r="A4" s="3"/>
      <c r="B4" s="54" t="s">
        <v>162</v>
      </c>
      <c r="C4" s="68" t="n">
        <v>2021</v>
      </c>
      <c r="D4" s="68" t="n">
        <v>2022</v>
      </c>
      <c r="E4" s="68" t="n">
        <v>2023</v>
      </c>
      <c r="F4" s="68" t="n">
        <v>2024</v>
      </c>
      <c r="G4" s="68" t="n">
        <v>2025</v>
      </c>
      <c r="H4" s="69" t="n">
        <v>2026</v>
      </c>
      <c r="I4" s="69" t="n">
        <v>2027</v>
      </c>
      <c r="J4" s="69" t="n">
        <v>2028</v>
      </c>
      <c r="K4" s="69" t="n">
        <v>2029</v>
      </c>
      <c r="L4" s="69" t="n">
        <v>2030</v>
      </c>
      <c r="M4" s="3"/>
    </row>
    <row r="5" customFormat="false" ht="15" hidden="false" customHeight="false" outlineLevel="0" collapsed="false">
      <c r="A5" s="3"/>
      <c r="B5" s="30" t="s">
        <v>95</v>
      </c>
      <c r="C5" s="3"/>
      <c r="D5" s="3"/>
      <c r="E5" s="3"/>
      <c r="F5" s="3"/>
      <c r="G5" s="3"/>
      <c r="H5" s="3"/>
      <c r="I5" s="3"/>
      <c r="J5" s="3"/>
      <c r="K5" s="3"/>
      <c r="L5" s="3"/>
      <c r="M5" s="3"/>
    </row>
    <row r="6" customFormat="false" ht="21.75" hidden="false" customHeight="true" outlineLevel="0" collapsed="false">
      <c r="A6" s="3"/>
      <c r="B6" s="20" t="s">
        <v>201</v>
      </c>
      <c r="C6" s="15"/>
      <c r="D6" s="15"/>
      <c r="E6" s="15"/>
      <c r="F6" s="15"/>
      <c r="G6" s="15"/>
      <c r="H6" s="15"/>
      <c r="I6" s="15"/>
      <c r="J6" s="15"/>
      <c r="K6" s="15"/>
      <c r="L6" s="15"/>
      <c r="M6" s="3"/>
    </row>
    <row r="7" customFormat="false" ht="15" hidden="false" customHeight="false" outlineLevel="0" collapsed="false">
      <c r="A7" s="3"/>
      <c r="B7" s="38" t="s">
        <v>202</v>
      </c>
      <c r="C7" s="87" t="n">
        <v>2140</v>
      </c>
      <c r="D7" s="87" t="n">
        <v>2170</v>
      </c>
      <c r="E7" s="87" t="n">
        <v>2205</v>
      </c>
      <c r="F7" s="87" t="n">
        <v>2225</v>
      </c>
      <c r="G7" s="87" t="n">
        <v>2255</v>
      </c>
      <c r="H7" s="88" t="n">
        <f aca="false">G7*(1+Assumptions!H12)</f>
        <v>2277.55</v>
      </c>
      <c r="I7" s="88" t="n">
        <f aca="false">H7*(1+Assumptions!I12)</f>
        <v>2300.3255</v>
      </c>
      <c r="J7" s="88" t="n">
        <f aca="false">I7*(1+Assumptions!J12)</f>
        <v>2321.0284295</v>
      </c>
      <c r="K7" s="88" t="n">
        <f aca="false">J7*(1+Assumptions!K12)</f>
        <v>2341.9176853655</v>
      </c>
      <c r="L7" s="88" t="n">
        <f aca="false">K7*(1+Assumptions!L12)</f>
        <v>2360.65302684842</v>
      </c>
      <c r="M7" s="3"/>
    </row>
    <row r="8" customFormat="false" ht="15" hidden="false" customHeight="false" outlineLevel="0" collapsed="false">
      <c r="A8" s="3"/>
      <c r="B8" s="38" t="s">
        <v>203</v>
      </c>
      <c r="C8" s="89" t="n">
        <v>60</v>
      </c>
      <c r="D8" s="89" t="n">
        <v>61.85</v>
      </c>
      <c r="E8" s="89" t="n">
        <v>64.15</v>
      </c>
      <c r="F8" s="89" t="n">
        <v>65.98</v>
      </c>
      <c r="G8" s="89" t="n">
        <v>67.8</v>
      </c>
      <c r="H8" s="90" t="n">
        <f aca="false">G8*(1+Assumptions!H13)</f>
        <v>69.3594</v>
      </c>
      <c r="I8" s="90" t="n">
        <f aca="false">H8*(1+Assumptions!I13)</f>
        <v>70.8159474</v>
      </c>
      <c r="J8" s="90" t="n">
        <f aca="false">I8*(1+Assumptions!J13)</f>
        <v>72.232266348</v>
      </c>
      <c r="K8" s="90" t="n">
        <f aca="false">J8*(1+Assumptions!K13)</f>
        <v>73.604679408612</v>
      </c>
      <c r="L8" s="90" t="n">
        <f aca="false">K8*(1+Assumptions!L13)</f>
        <v>75.0031683173756</v>
      </c>
      <c r="M8" s="3"/>
    </row>
    <row r="9" customFormat="false" ht="15" hidden="false" customHeight="false" outlineLevel="0" collapsed="false">
      <c r="A9" s="3"/>
      <c r="B9" s="80" t="s">
        <v>204</v>
      </c>
      <c r="C9" s="91" t="n">
        <f aca="false">C7*C8</f>
        <v>128400</v>
      </c>
      <c r="D9" s="91" t="n">
        <f aca="false">D7*D8</f>
        <v>134214.5</v>
      </c>
      <c r="E9" s="91" t="n">
        <f aca="false">E7*E8</f>
        <v>141450.75</v>
      </c>
      <c r="F9" s="91" t="n">
        <f aca="false">F7*F8</f>
        <v>146805.5</v>
      </c>
      <c r="G9" s="91" t="n">
        <f aca="false">G7*G8</f>
        <v>152889</v>
      </c>
      <c r="H9" s="91" t="n">
        <f aca="false">H7*H8</f>
        <v>157969.50147</v>
      </c>
      <c r="I9" s="91" t="n">
        <f aca="false">I7*I8</f>
        <v>162899.729610879</v>
      </c>
      <c r="J9" s="91" t="n">
        <f aca="false">J7*J8</f>
        <v>167653.143720924</v>
      </c>
      <c r="K9" s="91" t="n">
        <f aca="false">K7*K8</f>
        <v>172376.100432686</v>
      </c>
      <c r="L9" s="91" t="n">
        <f aca="false">L7*L8</f>
        <v>177056.456311635</v>
      </c>
      <c r="M9" s="3"/>
    </row>
    <row r="10" customFormat="false" ht="15" hidden="false" customHeight="false" outlineLevel="0" collapsed="false">
      <c r="A10" s="3"/>
      <c r="B10" s="3"/>
      <c r="C10" s="3"/>
      <c r="D10" s="3"/>
      <c r="E10" s="3"/>
      <c r="F10" s="3"/>
      <c r="G10" s="3"/>
      <c r="H10" s="3"/>
      <c r="I10" s="3"/>
      <c r="J10" s="3"/>
      <c r="K10" s="3"/>
      <c r="L10" s="3"/>
      <c r="M10" s="3"/>
    </row>
    <row r="11" customFormat="false" ht="21.75" hidden="false" customHeight="true" outlineLevel="0" collapsed="false">
      <c r="A11" s="3"/>
      <c r="B11" s="20" t="s">
        <v>205</v>
      </c>
      <c r="C11" s="15"/>
      <c r="D11" s="15"/>
      <c r="E11" s="15"/>
      <c r="F11" s="15"/>
      <c r="G11" s="15"/>
      <c r="H11" s="15"/>
      <c r="I11" s="15"/>
      <c r="J11" s="15"/>
      <c r="K11" s="15"/>
      <c r="L11" s="15"/>
      <c r="M11" s="3"/>
    </row>
    <row r="12" customFormat="false" ht="15" hidden="false" customHeight="false" outlineLevel="0" collapsed="false">
      <c r="A12" s="3"/>
      <c r="B12" s="38" t="s">
        <v>206</v>
      </c>
      <c r="C12" s="87" t="n">
        <v>170</v>
      </c>
      <c r="D12" s="87" t="n">
        <v>186</v>
      </c>
      <c r="E12" s="87" t="n">
        <v>206</v>
      </c>
      <c r="F12" s="87" t="n">
        <v>228</v>
      </c>
      <c r="G12" s="87" t="n">
        <v>250</v>
      </c>
      <c r="H12" s="88" t="n">
        <f aca="false">G12*(1+Assumptions!H14)</f>
        <v>266.25</v>
      </c>
      <c r="I12" s="88" t="n">
        <f aca="false">H12*(1+Assumptions!I14)</f>
        <v>282.225</v>
      </c>
      <c r="J12" s="88" t="n">
        <f aca="false">I12*(1+Assumptions!J14)</f>
        <v>297.747375</v>
      </c>
      <c r="K12" s="88" t="n">
        <f aca="false">J12*(1+Assumptions!K14)</f>
        <v>312.63474375</v>
      </c>
      <c r="L12" s="88" t="n">
        <f aca="false">K12*(1+Assumptions!L14)</f>
        <v>326.70330721875</v>
      </c>
      <c r="M12" s="3"/>
    </row>
    <row r="13" customFormat="false" ht="15" hidden="false" customHeight="false" outlineLevel="0" collapsed="false">
      <c r="A13" s="3"/>
      <c r="B13" s="38" t="s">
        <v>207</v>
      </c>
      <c r="C13" s="89" t="n">
        <v>507.06</v>
      </c>
      <c r="D13" s="89" t="n">
        <v>523.12</v>
      </c>
      <c r="E13" s="89" t="n">
        <v>546.6</v>
      </c>
      <c r="F13" s="89" t="n">
        <v>563.16</v>
      </c>
      <c r="G13" s="89" t="n">
        <v>582.8</v>
      </c>
      <c r="H13" s="90" t="n">
        <f aca="false">G13*(1+Assumptions!H15)</f>
        <v>599.1184</v>
      </c>
      <c r="I13" s="90" t="n">
        <f aca="false">H13*(1+Assumptions!I15)</f>
        <v>615.2945968</v>
      </c>
      <c r="J13" s="90" t="n">
        <f aca="false">I13*(1+Assumptions!J15)</f>
        <v>631.2922563168</v>
      </c>
      <c r="K13" s="90" t="n">
        <f aca="false">J13*(1+Assumptions!K15)</f>
        <v>647.07456272472</v>
      </c>
      <c r="L13" s="90" t="n">
        <f aca="false">K13*(1+Assumptions!L15)</f>
        <v>662.604352230113</v>
      </c>
      <c r="M13" s="3"/>
    </row>
    <row r="14" customFormat="false" ht="15" hidden="false" customHeight="false" outlineLevel="0" collapsed="false">
      <c r="A14" s="3"/>
      <c r="B14" s="80" t="s">
        <v>204</v>
      </c>
      <c r="C14" s="91" t="n">
        <f aca="false">C12*C13</f>
        <v>86200.2</v>
      </c>
      <c r="D14" s="91" t="n">
        <f aca="false">D12*D13</f>
        <v>97300.32</v>
      </c>
      <c r="E14" s="91" t="n">
        <f aca="false">E12*E13</f>
        <v>112599.6</v>
      </c>
      <c r="F14" s="91" t="n">
        <f aca="false">F12*F13</f>
        <v>128400.48</v>
      </c>
      <c r="G14" s="91" t="n">
        <f aca="false">G12*G13</f>
        <v>145700</v>
      </c>
      <c r="H14" s="91" t="n">
        <f aca="false">H12*H13</f>
        <v>159515.274</v>
      </c>
      <c r="I14" s="91" t="n">
        <f aca="false">I12*I13</f>
        <v>173651.51758188</v>
      </c>
      <c r="J14" s="91" t="n">
        <f aca="false">J12*J13</f>
        <v>187965.612176154</v>
      </c>
      <c r="K14" s="91" t="n">
        <f aca="false">K12*K13</f>
        <v>202297.990104586</v>
      </c>
      <c r="L14" s="91" t="n">
        <f aca="false">L12*L13</f>
        <v>216475.033251116</v>
      </c>
      <c r="M14" s="3"/>
    </row>
    <row r="15" customFormat="false" ht="15" hidden="false" customHeight="false" outlineLevel="0" collapsed="false">
      <c r="A15" s="3"/>
      <c r="B15" s="3"/>
      <c r="C15" s="3"/>
      <c r="D15" s="3"/>
      <c r="E15" s="3"/>
      <c r="F15" s="3"/>
      <c r="G15" s="3"/>
      <c r="H15" s="3"/>
      <c r="I15" s="3"/>
      <c r="J15" s="3"/>
      <c r="K15" s="3"/>
      <c r="L15" s="3"/>
      <c r="M15" s="3"/>
    </row>
    <row r="16" customFormat="false" ht="21.75" hidden="false" customHeight="true" outlineLevel="0" collapsed="false">
      <c r="A16" s="3"/>
      <c r="B16" s="20" t="s">
        <v>208</v>
      </c>
      <c r="C16" s="15"/>
      <c r="D16" s="15"/>
      <c r="E16" s="15"/>
      <c r="F16" s="15"/>
      <c r="G16" s="15"/>
      <c r="H16" s="15"/>
      <c r="I16" s="15"/>
      <c r="J16" s="15"/>
      <c r="K16" s="15"/>
      <c r="L16" s="15"/>
      <c r="M16" s="3"/>
    </row>
    <row r="17" customFormat="false" ht="15" hidden="false" customHeight="false" outlineLevel="0" collapsed="false">
      <c r="A17" s="3"/>
      <c r="B17" s="38" t="s">
        <v>209</v>
      </c>
      <c r="C17" s="87" t="n">
        <v>39</v>
      </c>
      <c r="D17" s="87" t="n">
        <v>40</v>
      </c>
      <c r="E17" s="87" t="n">
        <v>42</v>
      </c>
      <c r="F17" s="87" t="n">
        <v>44</v>
      </c>
      <c r="G17" s="87" t="n">
        <v>46</v>
      </c>
      <c r="H17" s="88" t="n">
        <f aca="false">G17*(1+Assumptions!H16)</f>
        <v>47.38</v>
      </c>
      <c r="I17" s="88" t="n">
        <f aca="false">H17*(1+Assumptions!I16)</f>
        <v>48.70664</v>
      </c>
      <c r="J17" s="88" t="n">
        <f aca="false">I17*(1+Assumptions!J16)</f>
        <v>49.97301264</v>
      </c>
      <c r="K17" s="88" t="n">
        <f aca="false">J17*(1+Assumptions!K16)</f>
        <v>51.17236494336</v>
      </c>
      <c r="L17" s="88" t="n">
        <f aca="false">K17*(1+Assumptions!L16)</f>
        <v>52.2981569721139</v>
      </c>
      <c r="M17" s="3"/>
    </row>
    <row r="18" customFormat="false" ht="15" hidden="false" customHeight="false" outlineLevel="0" collapsed="false">
      <c r="A18" s="3"/>
      <c r="B18" s="38" t="s">
        <v>210</v>
      </c>
      <c r="C18" s="89" t="n">
        <v>1402.56</v>
      </c>
      <c r="D18" s="89" t="n">
        <v>1452.5</v>
      </c>
      <c r="E18" s="89" t="n">
        <v>1521.43</v>
      </c>
      <c r="F18" s="89" t="n">
        <v>1572.73</v>
      </c>
      <c r="G18" s="89" t="n">
        <v>1658.7</v>
      </c>
      <c r="H18" s="90" t="n">
        <f aca="false">G18*(1+Assumptions!H17)</f>
        <v>1701.8262</v>
      </c>
      <c r="I18" s="90" t="n">
        <f aca="false">H18*(1+Assumptions!I17)</f>
        <v>1744.371855</v>
      </c>
      <c r="J18" s="90" t="n">
        <f aca="false">I18*(1+Assumptions!J17)</f>
        <v>1786.23677952</v>
      </c>
      <c r="K18" s="90" t="n">
        <f aca="false">J18*(1+Assumptions!K17)</f>
        <v>1827.32022544896</v>
      </c>
      <c r="L18" s="90" t="n">
        <f aca="false">K18*(1+Assumptions!L17)</f>
        <v>1867.52127040884</v>
      </c>
      <c r="M18" s="3"/>
    </row>
    <row r="19" customFormat="false" ht="15" hidden="false" customHeight="false" outlineLevel="0" collapsed="false">
      <c r="A19" s="3"/>
      <c r="B19" s="80" t="s">
        <v>204</v>
      </c>
      <c r="C19" s="91" t="n">
        <f aca="false">C17*C18</f>
        <v>54699.84</v>
      </c>
      <c r="D19" s="91" t="n">
        <f aca="false">D17*D18</f>
        <v>58100</v>
      </c>
      <c r="E19" s="91" t="n">
        <f aca="false">E17*E18</f>
        <v>63900.06</v>
      </c>
      <c r="F19" s="91" t="n">
        <f aca="false">F17*F18</f>
        <v>69200.12</v>
      </c>
      <c r="G19" s="91" t="n">
        <f aca="false">G17*G18</f>
        <v>76300.2</v>
      </c>
      <c r="H19" s="91" t="n">
        <f aca="false">H17*H18</f>
        <v>80632.525356</v>
      </c>
      <c r="I19" s="91" t="n">
        <f aca="false">I17*I18</f>
        <v>84962.4919676172</v>
      </c>
      <c r="J19" s="91" t="n">
        <f aca="false">J17*J18</f>
        <v>89263.6331609859</v>
      </c>
      <c r="K19" s="91" t="n">
        <f aca="false">K17*K18</f>
        <v>93508.2974450571</v>
      </c>
      <c r="L19" s="91" t="n">
        <f aca="false">L17*L18</f>
        <v>97667.920548603</v>
      </c>
      <c r="M19" s="3"/>
    </row>
    <row r="20" customFormat="false" ht="15" hidden="false" customHeight="false" outlineLevel="0" collapsed="false">
      <c r="A20" s="3"/>
      <c r="B20" s="3"/>
      <c r="C20" s="3"/>
      <c r="D20" s="3"/>
      <c r="E20" s="3"/>
      <c r="F20" s="3"/>
      <c r="G20" s="3"/>
      <c r="H20" s="3"/>
      <c r="I20" s="3"/>
      <c r="J20" s="3"/>
      <c r="K20" s="3"/>
      <c r="L20" s="3"/>
      <c r="M20" s="3"/>
    </row>
    <row r="21" customFormat="false" ht="21.75" hidden="false" customHeight="true" outlineLevel="0" collapsed="false">
      <c r="A21" s="3"/>
      <c r="B21" s="20" t="s">
        <v>211</v>
      </c>
      <c r="C21" s="15"/>
      <c r="D21" s="15"/>
      <c r="E21" s="15"/>
      <c r="F21" s="15"/>
      <c r="G21" s="15"/>
      <c r="H21" s="15"/>
      <c r="I21" s="15"/>
      <c r="J21" s="15"/>
      <c r="K21" s="15"/>
      <c r="L21" s="15"/>
      <c r="M21" s="3"/>
    </row>
    <row r="22" customFormat="false" ht="15" hidden="false" customHeight="false" outlineLevel="0" collapsed="false">
      <c r="A22" s="3"/>
      <c r="B22" s="92" t="s">
        <v>212</v>
      </c>
      <c r="C22" s="93" t="n">
        <f aca="false">SUM(C9,C14,C19)</f>
        <v>269300.04</v>
      </c>
      <c r="D22" s="93" t="n">
        <f aca="false">SUM(D9,D14,D19)</f>
        <v>289614.82</v>
      </c>
      <c r="E22" s="93" t="n">
        <f aca="false">SUM(E9,E14,E19)</f>
        <v>317950.41</v>
      </c>
      <c r="F22" s="93" t="n">
        <f aca="false">SUM(F9,F14,F19)</f>
        <v>344406.1</v>
      </c>
      <c r="G22" s="93" t="n">
        <f aca="false">SUM(G9,G14,G19)</f>
        <v>374889.2</v>
      </c>
      <c r="H22" s="93" t="n">
        <f aca="false">SUM(H9,H14,H19)</f>
        <v>398117.300826</v>
      </c>
      <c r="I22" s="93" t="n">
        <f aca="false">SUM(I9,I14,I19)</f>
        <v>421513.739160376</v>
      </c>
      <c r="J22" s="93" t="n">
        <f aca="false">SUM(J9,J14,J19)</f>
        <v>444882.389058064</v>
      </c>
      <c r="K22" s="93" t="n">
        <f aca="false">SUM(K9,K14,K19)</f>
        <v>468182.387982329</v>
      </c>
      <c r="L22" s="93" t="n">
        <f aca="false">SUM(L9,L14,L19)</f>
        <v>491199.410111353</v>
      </c>
      <c r="M22" s="3"/>
    </row>
    <row r="23" customFormat="false" ht="15" hidden="false" customHeight="false" outlineLevel="0" collapsed="false">
      <c r="A23" s="3"/>
      <c r="B23" s="94" t="s">
        <v>213</v>
      </c>
      <c r="C23" s="3"/>
      <c r="D23" s="95" t="n">
        <f aca="false">D22/C22-1</f>
        <v>0.0754354882383235</v>
      </c>
      <c r="E23" s="95" t="n">
        <f aca="false">E22/D22-1</f>
        <v>0.0978388813113915</v>
      </c>
      <c r="F23" s="95" t="n">
        <f aca="false">F22/E22-1</f>
        <v>0.0832069692880721</v>
      </c>
      <c r="G23" s="95" t="n">
        <f aca="false">G22/F22-1</f>
        <v>0.0885091756504894</v>
      </c>
      <c r="H23" s="95" t="n">
        <f aca="false">H22/G22-1</f>
        <v>0.0619599092905314</v>
      </c>
      <c r="I23" s="95" t="n">
        <f aca="false">I22/H22-1</f>
        <v>0.0587677005893332</v>
      </c>
      <c r="J23" s="95" t="n">
        <f aca="false">J22/I22-1</f>
        <v>0.0554398296583099</v>
      </c>
      <c r="K23" s="95" t="n">
        <f aca="false">K22/J22-1</f>
        <v>0.0523733901303609</v>
      </c>
      <c r="L23" s="95" t="n">
        <f aca="false">L22/K22-1</f>
        <v>0.0491625117045034</v>
      </c>
      <c r="M23" s="3"/>
    </row>
    <row r="24" customFormat="false" ht="15" hidden="false" customHeight="false" outlineLevel="0" collapsed="false">
      <c r="A24" s="3"/>
      <c r="B24" s="3"/>
      <c r="C24" s="3"/>
      <c r="D24" s="3"/>
      <c r="E24" s="3"/>
      <c r="F24" s="3"/>
      <c r="G24" s="3"/>
      <c r="H24" s="3"/>
      <c r="I24" s="3"/>
      <c r="J24" s="3"/>
      <c r="K24" s="3"/>
      <c r="L24" s="3"/>
      <c r="M24" s="3"/>
    </row>
    <row r="25" customFormat="false" ht="21.75" hidden="false" customHeight="true" outlineLevel="0" collapsed="false">
      <c r="A25" s="3"/>
      <c r="B25" s="20" t="s">
        <v>214</v>
      </c>
      <c r="C25" s="15"/>
      <c r="D25" s="15"/>
      <c r="E25" s="15"/>
      <c r="F25" s="15"/>
      <c r="G25" s="15"/>
      <c r="H25" s="15"/>
      <c r="I25" s="15"/>
      <c r="J25" s="15"/>
      <c r="K25" s="15"/>
      <c r="L25" s="15"/>
      <c r="M25" s="3"/>
    </row>
    <row r="26" customFormat="false" ht="15" hidden="false" customHeight="false" outlineLevel="0" collapsed="false">
      <c r="A26" s="3"/>
      <c r="B26" s="96" t="s">
        <v>118</v>
      </c>
      <c r="C26" s="97" t="n">
        <f aca="false">C9/C22</f>
        <v>0.476791611319479</v>
      </c>
      <c r="D26" s="97" t="n">
        <f aca="false">D9/D22</f>
        <v>0.463424143833523</v>
      </c>
      <c r="E26" s="97" t="n">
        <f aca="false">E9/E22</f>
        <v>0.444883055819931</v>
      </c>
      <c r="F26" s="97" t="n">
        <f aca="false">F9/F22</f>
        <v>0.426256968154745</v>
      </c>
      <c r="G26" s="97" t="n">
        <f aca="false">G9/G22</f>
        <v>0.40782449854517</v>
      </c>
      <c r="H26" s="97" t="n">
        <f aca="false">H9/H22</f>
        <v>0.396791350544803</v>
      </c>
      <c r="I26" s="97" t="n">
        <f aca="false">I9/I22</f>
        <v>0.386463629715517</v>
      </c>
      <c r="J26" s="97" t="n">
        <f aca="false">J9/J22</f>
        <v>0.376848236397694</v>
      </c>
      <c r="K26" s="97" t="n">
        <f aca="false">K9/K22</f>
        <v>0.368181513994055</v>
      </c>
      <c r="L26" s="97" t="n">
        <f aca="false">L9/L22</f>
        <v>0.360457387909925</v>
      </c>
      <c r="M26" s="3"/>
    </row>
    <row r="27" customFormat="false" ht="15" hidden="false" customHeight="false" outlineLevel="0" collapsed="false">
      <c r="A27" s="3"/>
      <c r="B27" s="96" t="s">
        <v>119</v>
      </c>
      <c r="C27" s="97" t="n">
        <f aca="false">C14/C22</f>
        <v>0.320089815062783</v>
      </c>
      <c r="D27" s="97" t="n">
        <f aca="false">D14/D22</f>
        <v>0.335964575293488</v>
      </c>
      <c r="E27" s="97" t="n">
        <f aca="false">E14/E22</f>
        <v>0.354142018561951</v>
      </c>
      <c r="F27" s="97" t="n">
        <f aca="false">F14/F22</f>
        <v>0.372817090057348</v>
      </c>
      <c r="G27" s="97" t="n">
        <f aca="false">G14/G22</f>
        <v>0.388648165911421</v>
      </c>
      <c r="H27" s="97" t="n">
        <f aca="false">H14/H22</f>
        <v>0.400674056789402</v>
      </c>
      <c r="I27" s="97" t="n">
        <f aca="false">I14/I22</f>
        <v>0.411971192037016</v>
      </c>
      <c r="J27" s="97" t="n">
        <f aca="false">J14/J22</f>
        <v>0.422506300090071</v>
      </c>
      <c r="K27" s="97" t="n">
        <f aca="false">K14/K22</f>
        <v>0.432092268520407</v>
      </c>
      <c r="L27" s="97" t="n">
        <f aca="false">L14/L22</f>
        <v>0.440707030169359</v>
      </c>
      <c r="M27" s="3"/>
    </row>
    <row r="28" customFormat="false" ht="15" hidden="false" customHeight="false" outlineLevel="0" collapsed="false">
      <c r="A28" s="3"/>
      <c r="B28" s="96" t="s">
        <v>215</v>
      </c>
      <c r="C28" s="97" t="n">
        <f aca="false">C19/C22</f>
        <v>0.203118573617739</v>
      </c>
      <c r="D28" s="97" t="n">
        <f aca="false">D19/D22</f>
        <v>0.200611280872988</v>
      </c>
      <c r="E28" s="97" t="n">
        <f aca="false">E19/E22</f>
        <v>0.200974925618118</v>
      </c>
      <c r="F28" s="97" t="n">
        <f aca="false">F19/F22</f>
        <v>0.200925941787907</v>
      </c>
      <c r="G28" s="97" t="n">
        <f aca="false">G19/G22</f>
        <v>0.203527335543409</v>
      </c>
      <c r="H28" s="97" t="n">
        <f aca="false">H19/H22</f>
        <v>0.202534592665796</v>
      </c>
      <c r="I28" s="97" t="n">
        <f aca="false">I19/I22</f>
        <v>0.201565178247466</v>
      </c>
      <c r="J28" s="97" t="n">
        <f aca="false">J19/J22</f>
        <v>0.200645463512235</v>
      </c>
      <c r="K28" s="97" t="n">
        <f aca="false">K19/K22</f>
        <v>0.199726217485538</v>
      </c>
      <c r="L28" s="97" t="n">
        <f aca="false">L19/L22</f>
        <v>0.198835581920715</v>
      </c>
      <c r="M28" s="3"/>
    </row>
    <row r="29" customFormat="false" ht="15" hidden="false" customHeight="false" outlineLevel="0" collapsed="false">
      <c r="A29" s="3"/>
      <c r="B29" s="3"/>
      <c r="C29" s="3"/>
      <c r="D29" s="3"/>
      <c r="E29" s="3"/>
      <c r="F29" s="3"/>
      <c r="G29" s="3"/>
      <c r="H29" s="3"/>
      <c r="I29" s="3"/>
      <c r="J29" s="3"/>
      <c r="K29" s="3"/>
      <c r="L29" s="3"/>
      <c r="M29" s="3"/>
    </row>
    <row r="30" customFormat="false" ht="15" hidden="false" customHeight="false" outlineLevel="0" collapsed="false">
      <c r="A30" s="3"/>
      <c r="B30" s="3"/>
      <c r="C30" s="3"/>
      <c r="D30" s="3"/>
      <c r="E30" s="3"/>
      <c r="F30" s="3"/>
      <c r="G30" s="3"/>
      <c r="H30" s="3"/>
      <c r="I30" s="3"/>
      <c r="J30" s="3"/>
      <c r="K30" s="3"/>
      <c r="L30" s="3"/>
      <c r="M30" s="3"/>
    </row>
  </sheetData>
  <mergeCells count="3">
    <mergeCell ref="B1:L1"/>
    <mergeCell ref="C3:G3"/>
    <mergeCell ref="H3:L3"/>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D2B"/>
    <pageSetUpPr fitToPage="true"/>
  </sheetPr>
  <dimension ref="A1:M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12" min="3" style="0" width="14"/>
  </cols>
  <sheetData>
    <row r="1" customFormat="false" ht="31.5" hidden="false" customHeight="true" outlineLevel="0" collapsed="false">
      <c r="A1" s="15"/>
      <c r="B1" s="16" t="s">
        <v>216</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66" t="s">
        <v>160</v>
      </c>
      <c r="D3" s="66"/>
      <c r="E3" s="66"/>
      <c r="F3" s="66"/>
      <c r="G3" s="66"/>
      <c r="H3" s="67" t="s">
        <v>161</v>
      </c>
      <c r="I3" s="67"/>
      <c r="J3" s="67"/>
      <c r="K3" s="67"/>
      <c r="L3" s="67"/>
      <c r="M3" s="3"/>
    </row>
    <row r="4" customFormat="false" ht="15" hidden="false" customHeight="false" outlineLevel="0" collapsed="false">
      <c r="A4" s="3"/>
      <c r="B4" s="54" t="s">
        <v>162</v>
      </c>
      <c r="C4" s="68" t="n">
        <v>2021</v>
      </c>
      <c r="D4" s="68" t="n">
        <v>2022</v>
      </c>
      <c r="E4" s="68" t="n">
        <v>2023</v>
      </c>
      <c r="F4" s="68" t="n">
        <v>2024</v>
      </c>
      <c r="G4" s="68" t="n">
        <v>2025</v>
      </c>
      <c r="H4" s="69" t="n">
        <v>2026</v>
      </c>
      <c r="I4" s="69" t="n">
        <v>2027</v>
      </c>
      <c r="J4" s="69" t="n">
        <v>2028</v>
      </c>
      <c r="K4" s="69" t="n">
        <v>2029</v>
      </c>
      <c r="L4" s="69" t="n">
        <v>2030</v>
      </c>
      <c r="M4" s="3"/>
    </row>
    <row r="5" customFormat="false" ht="15" hidden="false" customHeight="false" outlineLevel="0" collapsed="false">
      <c r="A5" s="3"/>
      <c r="B5" s="30" t="s">
        <v>95</v>
      </c>
      <c r="C5" s="3"/>
      <c r="D5" s="3"/>
      <c r="E5" s="3"/>
      <c r="F5" s="3"/>
      <c r="G5" s="3"/>
      <c r="H5" s="3"/>
      <c r="I5" s="3"/>
      <c r="J5" s="3"/>
      <c r="K5" s="3"/>
      <c r="L5" s="3"/>
      <c r="M5" s="3"/>
    </row>
    <row r="6" customFormat="false" ht="15" hidden="false" customHeight="false" outlineLevel="0" collapsed="false">
      <c r="A6" s="3"/>
      <c r="B6" s="80" t="s">
        <v>212</v>
      </c>
      <c r="C6" s="98" t="n">
        <f aca="false">'Revenue Build'!C22</f>
        <v>269300.04</v>
      </c>
      <c r="D6" s="98" t="n">
        <f aca="false">'Revenue Build'!D22</f>
        <v>289614.82</v>
      </c>
      <c r="E6" s="98" t="n">
        <f aca="false">'Revenue Build'!E22</f>
        <v>317950.41</v>
      </c>
      <c r="F6" s="98" t="n">
        <f aca="false">'Revenue Build'!F22</f>
        <v>344406.1</v>
      </c>
      <c r="G6" s="98" t="n">
        <f aca="false">'Revenue Build'!G22</f>
        <v>374889.2</v>
      </c>
      <c r="H6" s="98" t="n">
        <f aca="false">'Revenue Build'!H22</f>
        <v>398117.300826</v>
      </c>
      <c r="I6" s="98" t="n">
        <f aca="false">'Revenue Build'!I22</f>
        <v>421513.739160376</v>
      </c>
      <c r="J6" s="98" t="n">
        <f aca="false">'Revenue Build'!J22</f>
        <v>444882.389058064</v>
      </c>
      <c r="K6" s="98" t="n">
        <f aca="false">'Revenue Build'!K22</f>
        <v>468182.387982329</v>
      </c>
      <c r="L6" s="98" t="n">
        <f aca="false">'Revenue Build'!L22</f>
        <v>491199.410111353</v>
      </c>
      <c r="M6" s="3"/>
    </row>
    <row r="7" customFormat="false" ht="15" hidden="false" customHeight="false" outlineLevel="0" collapsed="false">
      <c r="A7" s="3"/>
      <c r="B7" s="38" t="s">
        <v>217</v>
      </c>
      <c r="C7" s="99" t="n">
        <f aca="false">-C6*(1-Assumptions!C25)</f>
        <v>-118492.0176</v>
      </c>
      <c r="D7" s="99" t="n">
        <f aca="false">-D6*(1-Assumptions!D25)</f>
        <v>-125982.4467</v>
      </c>
      <c r="E7" s="99" t="n">
        <f aca="false">-E6*(1-Assumptions!E25)</f>
        <v>-136718.6763</v>
      </c>
      <c r="F7" s="99" t="n">
        <f aca="false">-F6*(1-Assumptions!F25)</f>
        <v>-146372.5925</v>
      </c>
      <c r="G7" s="99" t="n">
        <f aca="false">-G6*(1-Assumptions!G25)</f>
        <v>-157453.464</v>
      </c>
      <c r="H7" s="99" t="n">
        <f aca="false">-H6*(1-Assumptions!H25)</f>
        <v>-166014.914444442</v>
      </c>
      <c r="I7" s="99" t="n">
        <f aca="false">-I6*(1-Assumptions!I25)</f>
        <v>-174506.688012396</v>
      </c>
      <c r="J7" s="99" t="n">
        <f aca="false">-J6*(1-Assumptions!J25)</f>
        <v>-182846.661902864</v>
      </c>
      <c r="K7" s="99" t="n">
        <f aca="false">-K6*(1-Assumptions!K25)</f>
        <v>-191486.596684773</v>
      </c>
      <c r="L7" s="99" t="n">
        <f aca="false">-L6*(1-Assumptions!L25)</f>
        <v>-199918.159915321</v>
      </c>
      <c r="M7" s="3"/>
    </row>
    <row r="8" customFormat="false" ht="15" hidden="false" customHeight="false" outlineLevel="0" collapsed="false">
      <c r="A8" s="3"/>
      <c r="B8" s="80" t="s">
        <v>218</v>
      </c>
      <c r="C8" s="91" t="n">
        <f aca="false">C6+C7</f>
        <v>150808.0224</v>
      </c>
      <c r="D8" s="91" t="n">
        <f aca="false">D6+D7</f>
        <v>163632.3733</v>
      </c>
      <c r="E8" s="91" t="n">
        <f aca="false">E6+E7</f>
        <v>181231.7337</v>
      </c>
      <c r="F8" s="91" t="n">
        <f aca="false">F6+F7</f>
        <v>198033.5075</v>
      </c>
      <c r="G8" s="91" t="n">
        <f aca="false">G6+G7</f>
        <v>217435.736</v>
      </c>
      <c r="H8" s="91" t="n">
        <f aca="false">H6+H7</f>
        <v>232102.386381558</v>
      </c>
      <c r="I8" s="91" t="n">
        <f aca="false">I6+I7</f>
        <v>247007.05114798</v>
      </c>
      <c r="J8" s="91" t="n">
        <f aca="false">J6+J7</f>
        <v>262035.7271552</v>
      </c>
      <c r="K8" s="91" t="n">
        <f aca="false">K6+K7</f>
        <v>276695.791297557</v>
      </c>
      <c r="L8" s="91" t="n">
        <f aca="false">L6+L7</f>
        <v>291281.250196032</v>
      </c>
      <c r="M8" s="3"/>
    </row>
    <row r="9" customFormat="false" ht="15" hidden="false" customHeight="false" outlineLevel="0" collapsed="false">
      <c r="A9" s="3"/>
      <c r="B9" s="100" t="s">
        <v>179</v>
      </c>
      <c r="C9" s="95" t="n">
        <f aca="false">C8/C6</f>
        <v>0.56</v>
      </c>
      <c r="D9" s="95" t="n">
        <f aca="false">D8/D6</f>
        <v>0.565</v>
      </c>
      <c r="E9" s="95" t="n">
        <f aca="false">E8/E6</f>
        <v>0.57</v>
      </c>
      <c r="F9" s="95" t="n">
        <f aca="false">F8/F6</f>
        <v>0.575</v>
      </c>
      <c r="G9" s="95" t="n">
        <f aca="false">G8/G6</f>
        <v>0.58</v>
      </c>
      <c r="H9" s="95" t="n">
        <f aca="false">H8/H6</f>
        <v>0.583</v>
      </c>
      <c r="I9" s="95" t="n">
        <f aca="false">I8/I6</f>
        <v>0.586</v>
      </c>
      <c r="J9" s="95" t="n">
        <f aca="false">J8/J6</f>
        <v>0.589</v>
      </c>
      <c r="K9" s="95" t="n">
        <f aca="false">K8/K6</f>
        <v>0.591</v>
      </c>
      <c r="L9" s="95" t="n">
        <f aca="false">L8/L6</f>
        <v>0.593</v>
      </c>
      <c r="M9" s="3"/>
    </row>
    <row r="10" customFormat="false" ht="15" hidden="false" customHeight="false" outlineLevel="0" collapsed="false">
      <c r="A10" s="3"/>
      <c r="B10" s="3"/>
      <c r="C10" s="3"/>
      <c r="D10" s="3"/>
      <c r="E10" s="3"/>
      <c r="F10" s="3"/>
      <c r="G10" s="3"/>
      <c r="H10" s="3"/>
      <c r="I10" s="3"/>
      <c r="J10" s="3"/>
      <c r="K10" s="3"/>
      <c r="L10" s="3"/>
      <c r="M10" s="3"/>
    </row>
    <row r="11" customFormat="false" ht="15" hidden="false" customHeight="false" outlineLevel="0" collapsed="false">
      <c r="A11" s="3"/>
      <c r="B11" s="38" t="s">
        <v>219</v>
      </c>
      <c r="C11" s="99" t="n">
        <f aca="false">-C6*Assumptions!C26</f>
        <v>-91562.0136</v>
      </c>
      <c r="D11" s="99" t="n">
        <f aca="false">-D6*Assumptions!D26</f>
        <v>-97020.9647</v>
      </c>
      <c r="E11" s="99" t="n">
        <f aca="false">-E6*Assumptions!E26</f>
        <v>-104923.6353</v>
      </c>
      <c r="F11" s="99" t="n">
        <f aca="false">-F6*Assumptions!F26</f>
        <v>-111931.9825</v>
      </c>
      <c r="G11" s="99" t="n">
        <f aca="false">-G6*Assumptions!G26</f>
        <v>-119964.544</v>
      </c>
      <c r="H11" s="99" t="n">
        <f aca="false">-H6*Assumptions!H26</f>
        <v>-126203.184361842</v>
      </c>
      <c r="I11" s="99" t="n">
        <f aca="false">-I6*Assumptions!I26</f>
        <v>-132355.314096358</v>
      </c>
      <c r="J11" s="99" t="n">
        <f aca="false">-J6*Assumptions!J26</f>
        <v>-138358.422997058</v>
      </c>
      <c r="K11" s="99" t="n">
        <f aca="false">-K6*Assumptions!K26</f>
        <v>-144668.35788654</v>
      </c>
      <c r="L11" s="99" t="n">
        <f aca="false">-L6*Assumptions!L26</f>
        <v>-150798.218904185</v>
      </c>
      <c r="M11" s="3"/>
    </row>
    <row r="12" customFormat="false" ht="15" hidden="false" customHeight="false" outlineLevel="0" collapsed="false">
      <c r="A12" s="3"/>
      <c r="B12" s="80" t="s">
        <v>111</v>
      </c>
      <c r="C12" s="101" t="n">
        <f aca="false">C8+C11</f>
        <v>59246.0088</v>
      </c>
      <c r="D12" s="101" t="n">
        <f aca="false">D8+D11</f>
        <v>66611.4086</v>
      </c>
      <c r="E12" s="101" t="n">
        <f aca="false">E8+E11</f>
        <v>76308.0984</v>
      </c>
      <c r="F12" s="101" t="n">
        <f aca="false">F8+F11</f>
        <v>86101.525</v>
      </c>
      <c r="G12" s="101" t="n">
        <f aca="false">G8+G11</f>
        <v>97471.192</v>
      </c>
      <c r="H12" s="101" t="n">
        <f aca="false">H8+H11</f>
        <v>105899.202019716</v>
      </c>
      <c r="I12" s="101" t="n">
        <f aca="false">I8+I11</f>
        <v>114651.737051622</v>
      </c>
      <c r="J12" s="101" t="n">
        <f aca="false">J8+J11</f>
        <v>123677.304158142</v>
      </c>
      <c r="K12" s="101" t="n">
        <f aca="false">K8+K11</f>
        <v>132027.433411017</v>
      </c>
      <c r="L12" s="101" t="n">
        <f aca="false">L8+L11</f>
        <v>140483.031291847</v>
      </c>
      <c r="M12" s="3"/>
    </row>
    <row r="13" customFormat="false" ht="15" hidden="false" customHeight="false" outlineLevel="0" collapsed="false">
      <c r="A13" s="3"/>
      <c r="B13" s="100" t="s">
        <v>220</v>
      </c>
      <c r="C13" s="95" t="n">
        <f aca="false">C12/C6</f>
        <v>0.22</v>
      </c>
      <c r="D13" s="95" t="n">
        <f aca="false">D12/D6</f>
        <v>0.23</v>
      </c>
      <c r="E13" s="95" t="n">
        <f aca="false">E12/E6</f>
        <v>0.24</v>
      </c>
      <c r="F13" s="95" t="n">
        <f aca="false">F12/F6</f>
        <v>0.25</v>
      </c>
      <c r="G13" s="95" t="n">
        <f aca="false">G12/G6</f>
        <v>0.26</v>
      </c>
      <c r="H13" s="95" t="n">
        <f aca="false">H12/H6</f>
        <v>0.266</v>
      </c>
      <c r="I13" s="95" t="n">
        <f aca="false">I12/I6</f>
        <v>0.272</v>
      </c>
      <c r="J13" s="95" t="n">
        <f aca="false">J12/J6</f>
        <v>0.278</v>
      </c>
      <c r="K13" s="95" t="n">
        <f aca="false">K12/K6</f>
        <v>0.282</v>
      </c>
      <c r="L13" s="95" t="n">
        <f aca="false">L12/L6</f>
        <v>0.286</v>
      </c>
      <c r="M13" s="3"/>
    </row>
    <row r="14" customFormat="false" ht="15" hidden="false" customHeight="false" outlineLevel="0" collapsed="false">
      <c r="A14" s="3"/>
      <c r="B14" s="3"/>
      <c r="C14" s="3"/>
      <c r="D14" s="3"/>
      <c r="E14" s="3"/>
      <c r="F14" s="3"/>
      <c r="G14" s="3"/>
      <c r="H14" s="3"/>
      <c r="I14" s="3"/>
      <c r="J14" s="3"/>
      <c r="K14" s="3"/>
      <c r="L14" s="3"/>
      <c r="M14" s="3"/>
    </row>
    <row r="15" customFormat="false" ht="15" hidden="false" customHeight="false" outlineLevel="0" collapsed="false">
      <c r="A15" s="3"/>
      <c r="B15" s="38" t="s">
        <v>221</v>
      </c>
      <c r="C15" s="99" t="n">
        <f aca="false">-C6*Assumptions!C27</f>
        <v>-10772.0016</v>
      </c>
      <c r="D15" s="99" t="n">
        <f aca="false">-D6*Assumptions!D27</f>
        <v>-11294.97798</v>
      </c>
      <c r="E15" s="99" t="n">
        <f aca="false">-E6*Assumptions!E27</f>
        <v>-12082.11558</v>
      </c>
      <c r="F15" s="99" t="n">
        <f aca="false">-F6*Assumptions!F27</f>
        <v>-12743.0257</v>
      </c>
      <c r="G15" s="99" t="n">
        <f aca="false">-G6*Assumptions!G27</f>
        <v>-13496.0112</v>
      </c>
      <c r="H15" s="99" t="n">
        <f aca="false">-H6*Assumptions!H27</f>
        <v>-14332.222829736</v>
      </c>
      <c r="I15" s="99" t="n">
        <f aca="false">-I6*Assumptions!I27</f>
        <v>-14752.9808706132</v>
      </c>
      <c r="J15" s="99" t="n">
        <f aca="false">-J6*Assumptions!J27</f>
        <v>-15570.8836170323</v>
      </c>
      <c r="K15" s="99" t="n">
        <f aca="false">-K6*Assumptions!K27</f>
        <v>-15918.2011913992</v>
      </c>
      <c r="L15" s="99" t="n">
        <f aca="false">-L6*Assumptions!L27</f>
        <v>-16700.779943786</v>
      </c>
      <c r="M15" s="3"/>
    </row>
    <row r="16" customFormat="false" ht="15" hidden="false" customHeight="false" outlineLevel="0" collapsed="false">
      <c r="A16" s="3"/>
      <c r="B16" s="80" t="s">
        <v>222</v>
      </c>
      <c r="C16" s="91" t="n">
        <f aca="false">C12+C15</f>
        <v>48474.0072</v>
      </c>
      <c r="D16" s="91" t="n">
        <f aca="false">D12+D15</f>
        <v>55316.43062</v>
      </c>
      <c r="E16" s="91" t="n">
        <f aca="false">E12+E15</f>
        <v>64225.98282</v>
      </c>
      <c r="F16" s="91" t="n">
        <f aca="false">F12+F15</f>
        <v>73358.4993</v>
      </c>
      <c r="G16" s="91" t="n">
        <f aca="false">G12+G15</f>
        <v>83975.1808</v>
      </c>
      <c r="H16" s="91" t="n">
        <f aca="false">H12+H15</f>
        <v>91566.97918998</v>
      </c>
      <c r="I16" s="91" t="n">
        <f aca="false">I12+I15</f>
        <v>99898.7561810091</v>
      </c>
      <c r="J16" s="91" t="n">
        <f aca="false">J12+J15</f>
        <v>108106.42054111</v>
      </c>
      <c r="K16" s="91" t="n">
        <f aca="false">K12+K15</f>
        <v>116109.232219618</v>
      </c>
      <c r="L16" s="91" t="n">
        <f aca="false">L12+L15</f>
        <v>123782.251348061</v>
      </c>
      <c r="M16" s="3"/>
    </row>
    <row r="17" customFormat="false" ht="15" hidden="false" customHeight="false" outlineLevel="0" collapsed="false">
      <c r="A17" s="3"/>
      <c r="B17" s="100" t="s">
        <v>223</v>
      </c>
      <c r="C17" s="95" t="n">
        <f aca="false">C16/C6</f>
        <v>0.18</v>
      </c>
      <c r="D17" s="95" t="n">
        <f aca="false">D16/D6</f>
        <v>0.191</v>
      </c>
      <c r="E17" s="95" t="n">
        <f aca="false">E16/E6</f>
        <v>0.202</v>
      </c>
      <c r="F17" s="95" t="n">
        <f aca="false">F16/F6</f>
        <v>0.213</v>
      </c>
      <c r="G17" s="95" t="n">
        <f aca="false">G16/G6</f>
        <v>0.224</v>
      </c>
      <c r="H17" s="95" t="n">
        <f aca="false">H16/H6</f>
        <v>0.23</v>
      </c>
      <c r="I17" s="95" t="n">
        <f aca="false">I16/I6</f>
        <v>0.237</v>
      </c>
      <c r="J17" s="95" t="n">
        <f aca="false">J16/J6</f>
        <v>0.243</v>
      </c>
      <c r="K17" s="95" t="n">
        <f aca="false">K16/K6</f>
        <v>0.248</v>
      </c>
      <c r="L17" s="95" t="n">
        <f aca="false">L16/L6</f>
        <v>0.252</v>
      </c>
      <c r="M17" s="3"/>
    </row>
    <row r="18" customFormat="false" ht="15" hidden="false" customHeight="false" outlineLevel="0" collapsed="false">
      <c r="A18" s="3"/>
      <c r="B18" s="3"/>
      <c r="C18" s="3"/>
      <c r="D18" s="3"/>
      <c r="E18" s="3"/>
      <c r="F18" s="3"/>
      <c r="G18" s="3"/>
      <c r="H18" s="3"/>
      <c r="I18" s="3"/>
      <c r="J18" s="3"/>
      <c r="K18" s="3"/>
      <c r="L18" s="3"/>
      <c r="M18" s="3"/>
    </row>
    <row r="19" customFormat="false" ht="15" hidden="false" customHeight="false" outlineLevel="0" collapsed="false">
      <c r="A19" s="3"/>
      <c r="B19" s="38" t="s">
        <v>224</v>
      </c>
      <c r="C19" s="102" t="n">
        <f aca="false">'Debt Schedule'!C15</f>
        <v>-3162.5</v>
      </c>
      <c r="D19" s="102" t="n">
        <f aca="false">'Debt Schedule'!D15</f>
        <v>-3300</v>
      </c>
      <c r="E19" s="102" t="n">
        <f aca="false">'Debt Schedule'!E15</f>
        <v>-3300</v>
      </c>
      <c r="F19" s="102" t="n">
        <f aca="false">'Debt Schedule'!F15</f>
        <v>-3300</v>
      </c>
      <c r="G19" s="102" t="n">
        <f aca="false">'Debt Schedule'!G15</f>
        <v>-3300</v>
      </c>
      <c r="H19" s="102" t="n">
        <f aca="false">'Debt Schedule'!H15</f>
        <v>-3300</v>
      </c>
      <c r="I19" s="102" t="n">
        <f aca="false">'Debt Schedule'!I15</f>
        <v>-3162.5</v>
      </c>
      <c r="J19" s="102" t="n">
        <f aca="false">'Debt Schedule'!J15</f>
        <v>-2887.5</v>
      </c>
      <c r="K19" s="102" t="n">
        <f aca="false">'Debt Schedule'!K15</f>
        <v>-2612.5</v>
      </c>
      <c r="L19" s="102" t="n">
        <f aca="false">'Debt Schedule'!L15</f>
        <v>-2337.5</v>
      </c>
      <c r="M19" s="3"/>
    </row>
    <row r="20" customFormat="false" ht="15" hidden="false" customHeight="false" outlineLevel="0" collapsed="false">
      <c r="A20" s="3"/>
      <c r="B20" s="80" t="s">
        <v>225</v>
      </c>
      <c r="C20" s="91" t="n">
        <f aca="false">C16+C19</f>
        <v>45311.5072</v>
      </c>
      <c r="D20" s="91" t="n">
        <f aca="false">D16+D19</f>
        <v>52016.43062</v>
      </c>
      <c r="E20" s="91" t="n">
        <f aca="false">E16+E19</f>
        <v>60925.98282</v>
      </c>
      <c r="F20" s="91" t="n">
        <f aca="false">F16+F19</f>
        <v>70058.4993</v>
      </c>
      <c r="G20" s="91" t="n">
        <f aca="false">G16+G19</f>
        <v>80675.1808</v>
      </c>
      <c r="H20" s="91" t="n">
        <f aca="false">H16+H19</f>
        <v>88266.97918998</v>
      </c>
      <c r="I20" s="91" t="n">
        <f aca="false">I16+I19</f>
        <v>96736.2561810091</v>
      </c>
      <c r="J20" s="91" t="n">
        <f aca="false">J16+J19</f>
        <v>105218.92054111</v>
      </c>
      <c r="K20" s="91" t="n">
        <f aca="false">K16+K19</f>
        <v>113496.732219618</v>
      </c>
      <c r="L20" s="91" t="n">
        <f aca="false">L16+L19</f>
        <v>121444.751348061</v>
      </c>
      <c r="M20" s="3"/>
    </row>
    <row r="21" customFormat="false" ht="15" hidden="false" customHeight="false" outlineLevel="0" collapsed="false">
      <c r="A21" s="3"/>
      <c r="B21" s="38" t="s">
        <v>226</v>
      </c>
      <c r="C21" s="99" t="n">
        <f aca="false">-C20*Assumptions!C28</f>
        <v>-11780.991872</v>
      </c>
      <c r="D21" s="99" t="n">
        <f aca="false">-D20*Assumptions!D28</f>
        <v>-13264.1898081</v>
      </c>
      <c r="E21" s="99" t="n">
        <f aca="false">-E20*Assumptions!E28</f>
        <v>-15536.1256191</v>
      </c>
      <c r="F21" s="99" t="n">
        <f aca="false">-F20*Assumptions!F28</f>
        <v>-17514.624825</v>
      </c>
      <c r="G21" s="99" t="n">
        <f aca="false">-G20*Assumptions!G28</f>
        <v>-20168.7952</v>
      </c>
      <c r="H21" s="99" t="n">
        <f aca="false">-H20*Assumptions!H28</f>
        <v>-21625.4099015451</v>
      </c>
      <c r="I21" s="99" t="n">
        <f aca="false">-I20*Assumptions!I28</f>
        <v>-23700.3827643472</v>
      </c>
      <c r="J21" s="99" t="n">
        <f aca="false">-J20*Assumptions!J28</f>
        <v>-25252.5409298663</v>
      </c>
      <c r="K21" s="99" t="n">
        <f aca="false">-K20*Assumptions!K28</f>
        <v>-27239.2157327082</v>
      </c>
      <c r="L21" s="99" t="n">
        <f aca="false">-L20*Assumptions!L28</f>
        <v>-29146.7403235346</v>
      </c>
      <c r="M21" s="3"/>
    </row>
    <row r="22" customFormat="false" ht="15" hidden="false" customHeight="false" outlineLevel="0" collapsed="false">
      <c r="A22" s="3"/>
      <c r="B22" s="92" t="s">
        <v>113</v>
      </c>
      <c r="C22" s="93" t="n">
        <f aca="false">C20+C21</f>
        <v>33530.515328</v>
      </c>
      <c r="D22" s="93" t="n">
        <f aca="false">D20+D21</f>
        <v>38752.2408119</v>
      </c>
      <c r="E22" s="93" t="n">
        <f aca="false">E20+E21</f>
        <v>45389.8572009</v>
      </c>
      <c r="F22" s="93" t="n">
        <f aca="false">F20+F21</f>
        <v>52543.874475</v>
      </c>
      <c r="G22" s="93" t="n">
        <f aca="false">G20+G21</f>
        <v>60506.3856</v>
      </c>
      <c r="H22" s="93" t="n">
        <f aca="false">H20+H21</f>
        <v>66641.5692884349</v>
      </c>
      <c r="I22" s="93" t="n">
        <f aca="false">I20+I21</f>
        <v>73035.8734166618</v>
      </c>
      <c r="J22" s="93" t="n">
        <f aca="false">J20+J21</f>
        <v>79966.3796112433</v>
      </c>
      <c r="K22" s="93" t="n">
        <f aca="false">K20+K21</f>
        <v>86257.5164869094</v>
      </c>
      <c r="L22" s="93" t="n">
        <f aca="false">L20+L21</f>
        <v>92298.0110245263</v>
      </c>
      <c r="M22" s="3"/>
    </row>
    <row r="23" customFormat="false" ht="15" hidden="false" customHeight="false" outlineLevel="0" collapsed="false">
      <c r="A23" s="3"/>
      <c r="B23" s="100" t="s">
        <v>227</v>
      </c>
      <c r="C23" s="95" t="n">
        <f aca="false">C22/C6</f>
        <v>0.124509878750854</v>
      </c>
      <c r="D23" s="95" t="n">
        <f aca="false">D22/D6</f>
        <v>0.133806138829152</v>
      </c>
      <c r="E23" s="95" t="n">
        <f aca="false">E22/E6</f>
        <v>0.142757662117498</v>
      </c>
      <c r="F23" s="95" t="n">
        <f aca="false">F22/F6</f>
        <v>0.152563716133367</v>
      </c>
      <c r="G23" s="95" t="n">
        <f aca="false">G22/G6</f>
        <v>0.161398049343646</v>
      </c>
      <c r="H23" s="95" t="n">
        <f aca="false">H22/H6</f>
        <v>0.167391794202787</v>
      </c>
      <c r="I23" s="95" t="n">
        <f aca="false">I22/I6</f>
        <v>0.173270445613811</v>
      </c>
      <c r="J23" s="95" t="n">
        <f aca="false">J22/J6</f>
        <v>0.179747235624574</v>
      </c>
      <c r="K23" s="95" t="n">
        <f aca="false">K22/K6</f>
        <v>0.18423913137494</v>
      </c>
      <c r="L23" s="95" t="n">
        <f aca="false">L22/L6</f>
        <v>0.187903342562245</v>
      </c>
      <c r="M23" s="3"/>
    </row>
    <row r="24" customFormat="false" ht="15" hidden="false" customHeight="false" outlineLevel="0" collapsed="false">
      <c r="A24" s="3"/>
      <c r="B24" s="3"/>
      <c r="C24" s="3"/>
      <c r="D24" s="3"/>
      <c r="E24" s="3"/>
      <c r="F24" s="3"/>
      <c r="G24" s="3"/>
      <c r="H24" s="3"/>
      <c r="I24" s="3"/>
      <c r="J24" s="3"/>
      <c r="K24" s="3"/>
      <c r="L24" s="3"/>
      <c r="M24" s="3"/>
    </row>
    <row r="25" customFormat="false" ht="15" hidden="false" customHeight="false" outlineLevel="0" collapsed="false">
      <c r="A25" s="3"/>
      <c r="B25" s="38" t="s">
        <v>196</v>
      </c>
      <c r="C25" s="103" t="n">
        <f aca="false">Assumptions!$C$42</f>
        <v>48.5</v>
      </c>
      <c r="D25" s="103" t="n">
        <f aca="false">Assumptions!$C$42</f>
        <v>48.5</v>
      </c>
      <c r="E25" s="103" t="n">
        <f aca="false">Assumptions!$C$42</f>
        <v>48.5</v>
      </c>
      <c r="F25" s="103" t="n">
        <f aca="false">Assumptions!$C$42</f>
        <v>48.5</v>
      </c>
      <c r="G25" s="103" t="n">
        <f aca="false">Assumptions!$C$42</f>
        <v>48.5</v>
      </c>
      <c r="H25" s="103" t="n">
        <f aca="false">Assumptions!$C$42</f>
        <v>48.5</v>
      </c>
      <c r="I25" s="103" t="n">
        <f aca="false">Assumptions!$C$42</f>
        <v>48.5</v>
      </c>
      <c r="J25" s="103" t="n">
        <f aca="false">Assumptions!$C$42</f>
        <v>48.5</v>
      </c>
      <c r="K25" s="103" t="n">
        <f aca="false">Assumptions!$C$42</f>
        <v>48.5</v>
      </c>
      <c r="L25" s="103" t="n">
        <f aca="false">Assumptions!$C$42</f>
        <v>48.5</v>
      </c>
      <c r="M25" s="3"/>
    </row>
    <row r="26" customFormat="false" ht="15" hidden="false" customHeight="false" outlineLevel="0" collapsed="false">
      <c r="A26" s="3"/>
      <c r="B26" s="80" t="s">
        <v>228</v>
      </c>
      <c r="C26" s="104" t="n">
        <f aca="false">C22/(C25*1000)</f>
        <v>0.691350831505155</v>
      </c>
      <c r="D26" s="104" t="n">
        <f aca="false">D22/(D25*1000)</f>
        <v>0.799015274472164</v>
      </c>
      <c r="E26" s="104" t="n">
        <f aca="false">E22/(E25*1000)</f>
        <v>0.935873344348454</v>
      </c>
      <c r="F26" s="104" t="n">
        <f aca="false">F22/(F25*1000)</f>
        <v>1.08337885515464</v>
      </c>
      <c r="G26" s="104" t="n">
        <f aca="false">G22/(G25*1000)</f>
        <v>1.24755434226804</v>
      </c>
      <c r="H26" s="104" t="n">
        <f aca="false">H22/(H25*1000)</f>
        <v>1.37405297501928</v>
      </c>
      <c r="I26" s="104" t="n">
        <f aca="false">I22/(I25*1000)</f>
        <v>1.50589429725076</v>
      </c>
      <c r="J26" s="104" t="n">
        <f aca="false">J22/(J25*1000)</f>
        <v>1.64879133219058</v>
      </c>
      <c r="K26" s="104" t="n">
        <f aca="false">K22/(K25*1000)</f>
        <v>1.77850549457545</v>
      </c>
      <c r="L26" s="104" t="n">
        <f aca="false">L22/(L25*1000)</f>
        <v>1.90305177370157</v>
      </c>
      <c r="M26" s="3"/>
    </row>
    <row r="27" customFormat="false" ht="15" hidden="false" customHeight="false" outlineLevel="0" collapsed="false">
      <c r="A27" s="3"/>
      <c r="B27" s="3"/>
      <c r="C27" s="3"/>
      <c r="D27" s="3"/>
      <c r="E27" s="3"/>
      <c r="F27" s="3"/>
      <c r="G27" s="3"/>
      <c r="H27" s="3"/>
      <c r="I27" s="3"/>
      <c r="J27" s="3"/>
      <c r="K27" s="3"/>
      <c r="L27" s="3"/>
      <c r="M27" s="3"/>
    </row>
    <row r="28" customFormat="false" ht="15" hidden="false" customHeight="false" outlineLevel="0" collapsed="false">
      <c r="A28" s="3"/>
      <c r="B28" s="3"/>
      <c r="C28" s="3"/>
      <c r="D28" s="3"/>
      <c r="E28" s="3"/>
      <c r="F28" s="3"/>
      <c r="G28" s="3"/>
      <c r="H28" s="3"/>
      <c r="I28" s="3"/>
      <c r="J28" s="3"/>
      <c r="K28" s="3"/>
      <c r="L28" s="3"/>
      <c r="M28" s="3"/>
    </row>
  </sheetData>
  <mergeCells count="3">
    <mergeCell ref="B1:L1"/>
    <mergeCell ref="C3:G3"/>
    <mergeCell ref="H3:L3"/>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D2B"/>
    <pageSetUpPr fitToPage="tru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12" min="3" style="0" width="14"/>
  </cols>
  <sheetData>
    <row r="1" customFormat="false" ht="31.5" hidden="false" customHeight="true" outlineLevel="0" collapsed="false">
      <c r="A1" s="15"/>
      <c r="B1" s="16" t="s">
        <v>229</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66" t="s">
        <v>160</v>
      </c>
      <c r="D3" s="66"/>
      <c r="E3" s="66"/>
      <c r="F3" s="66"/>
      <c r="G3" s="66"/>
      <c r="H3" s="67" t="s">
        <v>161</v>
      </c>
      <c r="I3" s="67"/>
      <c r="J3" s="67"/>
      <c r="K3" s="67"/>
      <c r="L3" s="67"/>
      <c r="M3" s="3"/>
    </row>
    <row r="4" customFormat="false" ht="15" hidden="false" customHeight="false" outlineLevel="0" collapsed="false">
      <c r="A4" s="3"/>
      <c r="B4" s="54" t="s">
        <v>162</v>
      </c>
      <c r="C4" s="68" t="n">
        <v>2021</v>
      </c>
      <c r="D4" s="68" t="n">
        <v>2022</v>
      </c>
      <c r="E4" s="68" t="n">
        <v>2023</v>
      </c>
      <c r="F4" s="68" t="n">
        <v>2024</v>
      </c>
      <c r="G4" s="68" t="n">
        <v>2025</v>
      </c>
      <c r="H4" s="69" t="n">
        <v>2026</v>
      </c>
      <c r="I4" s="69" t="n">
        <v>2027</v>
      </c>
      <c r="J4" s="69" t="n">
        <v>2028</v>
      </c>
      <c r="K4" s="69" t="n">
        <v>2029</v>
      </c>
      <c r="L4" s="69" t="n">
        <v>2030</v>
      </c>
      <c r="M4" s="3"/>
    </row>
    <row r="5" customFormat="false" ht="15" hidden="false" customHeight="false" outlineLevel="0" collapsed="false">
      <c r="A5" s="3"/>
      <c r="B5" s="30" t="s">
        <v>95</v>
      </c>
      <c r="C5" s="3"/>
      <c r="D5" s="3"/>
      <c r="E5" s="3"/>
      <c r="F5" s="3"/>
      <c r="G5" s="3"/>
      <c r="H5" s="3"/>
      <c r="I5" s="3"/>
      <c r="J5" s="3"/>
      <c r="K5" s="3"/>
      <c r="L5" s="3"/>
      <c r="M5" s="3"/>
    </row>
    <row r="6" customFormat="false" ht="21.75" hidden="false" customHeight="true" outlineLevel="0" collapsed="false">
      <c r="A6" s="3"/>
      <c r="B6" s="20" t="s">
        <v>230</v>
      </c>
      <c r="C6" s="15"/>
      <c r="D6" s="15"/>
      <c r="E6" s="15"/>
      <c r="F6" s="15"/>
      <c r="G6" s="15"/>
      <c r="H6" s="15"/>
      <c r="I6" s="15"/>
      <c r="J6" s="15"/>
      <c r="K6" s="15"/>
      <c r="L6" s="15"/>
      <c r="M6" s="3"/>
    </row>
    <row r="7" customFormat="false" ht="15" hidden="false" customHeight="false" outlineLevel="0" collapsed="false">
      <c r="A7" s="3"/>
      <c r="B7" s="38" t="s">
        <v>231</v>
      </c>
      <c r="C7" s="105" t="n">
        <v>36.5</v>
      </c>
      <c r="D7" s="106" t="n">
        <f aca="false">$C$7</f>
        <v>36.5</v>
      </c>
      <c r="E7" s="106" t="n">
        <f aca="false">$C$7</f>
        <v>36.5</v>
      </c>
      <c r="F7" s="106" t="n">
        <f aca="false">$C$7</f>
        <v>36.5</v>
      </c>
      <c r="G7" s="106" t="n">
        <f aca="false">$C$7</f>
        <v>36.5</v>
      </c>
      <c r="H7" s="106" t="n">
        <f aca="false">$C$7</f>
        <v>36.5</v>
      </c>
      <c r="I7" s="106" t="n">
        <f aca="false">$C$7</f>
        <v>36.5</v>
      </c>
      <c r="J7" s="106" t="n">
        <f aca="false">$C$7</f>
        <v>36.5</v>
      </c>
      <c r="K7" s="106" t="n">
        <f aca="false">$C$7</f>
        <v>36.5</v>
      </c>
      <c r="L7" s="106" t="n">
        <f aca="false">$C$7</f>
        <v>36.5</v>
      </c>
      <c r="M7" s="3"/>
    </row>
    <row r="8" customFormat="false" ht="15" hidden="false" customHeight="false" outlineLevel="0" collapsed="false">
      <c r="A8" s="3"/>
      <c r="B8" s="38" t="s">
        <v>232</v>
      </c>
      <c r="C8" s="105" t="n">
        <v>54.75</v>
      </c>
      <c r="D8" s="106" t="n">
        <f aca="false">$C$8</f>
        <v>54.75</v>
      </c>
      <c r="E8" s="106" t="n">
        <f aca="false">$C$8</f>
        <v>54.75</v>
      </c>
      <c r="F8" s="106" t="n">
        <f aca="false">$C$8</f>
        <v>54.75</v>
      </c>
      <c r="G8" s="106" t="n">
        <f aca="false">$C$8</f>
        <v>54.75</v>
      </c>
      <c r="H8" s="106" t="n">
        <f aca="false">$C$8</f>
        <v>54.75</v>
      </c>
      <c r="I8" s="106" t="n">
        <f aca="false">$C$8</f>
        <v>54.75</v>
      </c>
      <c r="J8" s="106" t="n">
        <f aca="false">$C$8</f>
        <v>54.75</v>
      </c>
      <c r="K8" s="106" t="n">
        <f aca="false">$C$8</f>
        <v>54.75</v>
      </c>
      <c r="L8" s="106" t="n">
        <f aca="false">$C$8</f>
        <v>54.75</v>
      </c>
      <c r="M8" s="3"/>
    </row>
    <row r="9" customFormat="false" ht="15" hidden="false" customHeight="false" outlineLevel="0" collapsed="false">
      <c r="A9" s="3"/>
      <c r="B9" s="38" t="s">
        <v>233</v>
      </c>
      <c r="C9" s="105" t="n">
        <v>43.8</v>
      </c>
      <c r="D9" s="106" t="n">
        <f aca="false">$C$9</f>
        <v>43.8</v>
      </c>
      <c r="E9" s="106" t="n">
        <f aca="false">$C$9</f>
        <v>43.8</v>
      </c>
      <c r="F9" s="106" t="n">
        <f aca="false">$C$9</f>
        <v>43.8</v>
      </c>
      <c r="G9" s="106" t="n">
        <f aca="false">$C$9</f>
        <v>43.8</v>
      </c>
      <c r="H9" s="106" t="n">
        <f aca="false">$C$9</f>
        <v>43.8</v>
      </c>
      <c r="I9" s="106" t="n">
        <f aca="false">$C$9</f>
        <v>43.8</v>
      </c>
      <c r="J9" s="106" t="n">
        <f aca="false">$C$9</f>
        <v>43.8</v>
      </c>
      <c r="K9" s="106" t="n">
        <f aca="false">$C$9</f>
        <v>43.8</v>
      </c>
      <c r="L9" s="106" t="n">
        <f aca="false">$C$9</f>
        <v>43.8</v>
      </c>
      <c r="M9" s="3"/>
    </row>
    <row r="10" customFormat="false" ht="15" hidden="false" customHeight="false" outlineLevel="0" collapsed="false">
      <c r="A10" s="3"/>
      <c r="B10" s="3"/>
      <c r="C10" s="3"/>
      <c r="D10" s="3"/>
      <c r="E10" s="3"/>
      <c r="F10" s="3"/>
      <c r="G10" s="3"/>
      <c r="H10" s="3"/>
      <c r="I10" s="3"/>
      <c r="J10" s="3"/>
      <c r="K10" s="3"/>
      <c r="L10" s="3"/>
      <c r="M10" s="3"/>
    </row>
    <row r="11" customFormat="false" ht="21.75" hidden="false" customHeight="true" outlineLevel="0" collapsed="false">
      <c r="A11" s="3"/>
      <c r="B11" s="20" t="s">
        <v>234</v>
      </c>
      <c r="C11" s="15"/>
      <c r="D11" s="15"/>
      <c r="E11" s="15"/>
      <c r="F11" s="15"/>
      <c r="G11" s="15"/>
      <c r="H11" s="15"/>
      <c r="I11" s="15"/>
      <c r="J11" s="15"/>
      <c r="K11" s="15"/>
      <c r="L11" s="15"/>
      <c r="M11" s="3"/>
    </row>
    <row r="12" customFormat="false" ht="15" hidden="false" customHeight="false" outlineLevel="0" collapsed="false">
      <c r="A12" s="3"/>
      <c r="B12" s="38" t="s">
        <v>235</v>
      </c>
      <c r="C12" s="99" t="n">
        <f aca="false">'Income Statement'!C6/365*C7</f>
        <v>26930.004</v>
      </c>
      <c r="D12" s="99" t="n">
        <f aca="false">'Income Statement'!D6/365*D7</f>
        <v>28961.482</v>
      </c>
      <c r="E12" s="99" t="n">
        <f aca="false">'Income Statement'!E6/365*E7</f>
        <v>31795.041</v>
      </c>
      <c r="F12" s="99" t="n">
        <f aca="false">'Income Statement'!F6/365*F7</f>
        <v>34440.61</v>
      </c>
      <c r="G12" s="99" t="n">
        <f aca="false">'Income Statement'!G6/365*G7</f>
        <v>37488.92</v>
      </c>
      <c r="H12" s="99" t="n">
        <f aca="false">'Income Statement'!H6/365*H7</f>
        <v>39811.7300826</v>
      </c>
      <c r="I12" s="99" t="n">
        <f aca="false">'Income Statement'!I6/365*I7</f>
        <v>42151.3739160376</v>
      </c>
      <c r="J12" s="99" t="n">
        <f aca="false">'Income Statement'!J6/365*J7</f>
        <v>44488.2389058064</v>
      </c>
      <c r="K12" s="99" t="n">
        <f aca="false">'Income Statement'!K6/365*K7</f>
        <v>46818.2387982329</v>
      </c>
      <c r="L12" s="99" t="n">
        <f aca="false">'Income Statement'!L6/365*L7</f>
        <v>49119.9410111353</v>
      </c>
      <c r="M12" s="3"/>
    </row>
    <row r="13" customFormat="false" ht="15" hidden="false" customHeight="false" outlineLevel="0" collapsed="false">
      <c r="A13" s="3"/>
      <c r="B13" s="38" t="s">
        <v>236</v>
      </c>
      <c r="C13" s="99" t="n">
        <f aca="false">-'Income Statement'!C7/365*C8</f>
        <v>17773.80264</v>
      </c>
      <c r="D13" s="99" t="n">
        <f aca="false">-'Income Statement'!D7/365*D8</f>
        <v>18897.367005</v>
      </c>
      <c r="E13" s="99" t="n">
        <f aca="false">-'Income Statement'!E7/365*E8</f>
        <v>20507.801445</v>
      </c>
      <c r="F13" s="99" t="n">
        <f aca="false">-'Income Statement'!F7/365*F8</f>
        <v>21955.888875</v>
      </c>
      <c r="G13" s="99" t="n">
        <f aca="false">-'Income Statement'!G7/365*G8</f>
        <v>23618.0196</v>
      </c>
      <c r="H13" s="99" t="n">
        <f aca="false">-'Income Statement'!H7/365*H8</f>
        <v>24902.2371666663</v>
      </c>
      <c r="I13" s="99" t="n">
        <f aca="false">-'Income Statement'!I7/365*I8</f>
        <v>26176.0032018593</v>
      </c>
      <c r="J13" s="99" t="n">
        <f aca="false">-'Income Statement'!J7/365*J8</f>
        <v>27426.9992854297</v>
      </c>
      <c r="K13" s="99" t="n">
        <f aca="false">-'Income Statement'!K7/365*K8</f>
        <v>28722.9895027159</v>
      </c>
      <c r="L13" s="99" t="n">
        <f aca="false">-'Income Statement'!L7/365*L8</f>
        <v>29987.7239872981</v>
      </c>
      <c r="M13" s="3"/>
    </row>
    <row r="14" customFormat="false" ht="15" hidden="false" customHeight="false" outlineLevel="0" collapsed="false">
      <c r="A14" s="3"/>
      <c r="B14" s="38" t="s">
        <v>237</v>
      </c>
      <c r="C14" s="99" t="n">
        <f aca="false">-'Income Statement'!C7/365*C9</f>
        <v>14219.042112</v>
      </c>
      <c r="D14" s="99" t="n">
        <f aca="false">-'Income Statement'!D7/365*D9</f>
        <v>15117.893604</v>
      </c>
      <c r="E14" s="99" t="n">
        <f aca="false">-'Income Statement'!E7/365*E9</f>
        <v>16406.241156</v>
      </c>
      <c r="F14" s="99" t="n">
        <f aca="false">-'Income Statement'!F7/365*F9</f>
        <v>17564.7111</v>
      </c>
      <c r="G14" s="99" t="n">
        <f aca="false">-'Income Statement'!G7/365*G9</f>
        <v>18894.41568</v>
      </c>
      <c r="H14" s="99" t="n">
        <f aca="false">-'Income Statement'!H7/365*H9</f>
        <v>19921.789733333</v>
      </c>
      <c r="I14" s="99" t="n">
        <f aca="false">-'Income Statement'!I7/365*I9</f>
        <v>20940.8025614875</v>
      </c>
      <c r="J14" s="99" t="n">
        <f aca="false">-'Income Statement'!J7/365*J9</f>
        <v>21941.5994283437</v>
      </c>
      <c r="K14" s="99" t="n">
        <f aca="false">-'Income Statement'!K7/365*K9</f>
        <v>22978.3916021727</v>
      </c>
      <c r="L14" s="99" t="n">
        <f aca="false">-'Income Statement'!L7/365*L9</f>
        <v>23990.1791898385</v>
      </c>
      <c r="M14" s="3"/>
    </row>
    <row r="15" customFormat="false" ht="15" hidden="false" customHeight="false" outlineLevel="0" collapsed="false">
      <c r="A15" s="3"/>
      <c r="B15" s="3"/>
      <c r="C15" s="3"/>
      <c r="D15" s="3"/>
      <c r="E15" s="3"/>
      <c r="F15" s="3"/>
      <c r="G15" s="3"/>
      <c r="H15" s="3"/>
      <c r="I15" s="3"/>
      <c r="J15" s="3"/>
      <c r="K15" s="3"/>
      <c r="L15" s="3"/>
      <c r="M15" s="3"/>
    </row>
    <row r="16" customFormat="false" ht="21.75" hidden="false" customHeight="true" outlineLevel="0" collapsed="false">
      <c r="A16" s="3"/>
      <c r="B16" s="20" t="s">
        <v>238</v>
      </c>
      <c r="C16" s="15"/>
      <c r="D16" s="15"/>
      <c r="E16" s="15"/>
      <c r="F16" s="15"/>
      <c r="G16" s="15"/>
      <c r="H16" s="15"/>
      <c r="I16" s="15"/>
      <c r="J16" s="15"/>
      <c r="K16" s="15"/>
      <c r="L16" s="15"/>
      <c r="M16" s="3"/>
    </row>
    <row r="17" customFormat="false" ht="15" hidden="false" customHeight="false" outlineLevel="0" collapsed="false">
      <c r="A17" s="3"/>
      <c r="B17" s="80" t="s">
        <v>239</v>
      </c>
      <c r="C17" s="91" t="n">
        <f aca="false">C12+C13-C14</f>
        <v>30484.764528</v>
      </c>
      <c r="D17" s="91" t="n">
        <f aca="false">D12+D13-D14</f>
        <v>32740.955401</v>
      </c>
      <c r="E17" s="91" t="n">
        <f aca="false">E12+E13-E14</f>
        <v>35896.601289</v>
      </c>
      <c r="F17" s="91" t="n">
        <f aca="false">F12+F13-F14</f>
        <v>38831.787775</v>
      </c>
      <c r="G17" s="91" t="n">
        <f aca="false">G12+G13-G14</f>
        <v>42212.52392</v>
      </c>
      <c r="H17" s="91" t="n">
        <f aca="false">H12+H13-H14</f>
        <v>44792.1775159333</v>
      </c>
      <c r="I17" s="91" t="n">
        <f aca="false">I12+I13-I14</f>
        <v>47386.5745564095</v>
      </c>
      <c r="J17" s="91" t="n">
        <f aca="false">J12+J13-J14</f>
        <v>49973.6387628924</v>
      </c>
      <c r="K17" s="91" t="n">
        <f aca="false">K12+K13-K14</f>
        <v>52562.8366987761</v>
      </c>
      <c r="L17" s="91" t="n">
        <f aca="false">L12+L13-L14</f>
        <v>55117.4858085949</v>
      </c>
      <c r="M17" s="3"/>
    </row>
    <row r="18" customFormat="false" ht="15" hidden="false" customHeight="false" outlineLevel="0" collapsed="false">
      <c r="A18" s="3"/>
      <c r="B18" s="76" t="s">
        <v>240</v>
      </c>
      <c r="C18" s="3"/>
      <c r="D18" s="107" t="n">
        <f aca="false">-(D17-C17)</f>
        <v>-2256.190873</v>
      </c>
      <c r="E18" s="107" t="n">
        <f aca="false">-(E17-D17)</f>
        <v>-3155.645888</v>
      </c>
      <c r="F18" s="107" t="n">
        <f aca="false">-(F17-E17)</f>
        <v>-2935.186486</v>
      </c>
      <c r="G18" s="107" t="n">
        <f aca="false">-(G17-F17)</f>
        <v>-3380.736145</v>
      </c>
      <c r="H18" s="107" t="n">
        <f aca="false">-(H17-G17)</f>
        <v>-2579.65359593326</v>
      </c>
      <c r="I18" s="107" t="n">
        <f aca="false">-(I17-H17)</f>
        <v>-2594.39704047619</v>
      </c>
      <c r="J18" s="107" t="n">
        <f aca="false">-(J17-I17)</f>
        <v>-2587.06420648292</v>
      </c>
      <c r="K18" s="107" t="n">
        <f aca="false">-(K17-J17)</f>
        <v>-2589.19793588375</v>
      </c>
      <c r="L18" s="107" t="n">
        <f aca="false">-(L17-K17)</f>
        <v>-2554.6491098188</v>
      </c>
      <c r="M18" s="3"/>
    </row>
    <row r="19" customFormat="false" ht="15" hidden="false" customHeight="false" outlineLevel="0" collapsed="false">
      <c r="A19" s="3"/>
      <c r="B19" s="3"/>
      <c r="C19" s="3"/>
      <c r="D19" s="3"/>
      <c r="E19" s="3"/>
      <c r="F19" s="3"/>
      <c r="G19" s="3"/>
      <c r="H19" s="3"/>
      <c r="I19" s="3"/>
      <c r="J19" s="3"/>
      <c r="K19" s="3"/>
      <c r="L19" s="3"/>
      <c r="M19" s="3"/>
    </row>
    <row r="20" customFormat="false" ht="15" hidden="false" customHeight="false" outlineLevel="0" collapsed="false">
      <c r="A20" s="3"/>
      <c r="B20" s="3"/>
      <c r="C20" s="3"/>
      <c r="D20" s="3"/>
      <c r="E20" s="3"/>
      <c r="F20" s="3"/>
      <c r="G20" s="3"/>
      <c r="H20" s="3"/>
      <c r="I20" s="3"/>
      <c r="J20" s="3"/>
      <c r="K20" s="3"/>
      <c r="L20" s="3"/>
      <c r="M20" s="3"/>
    </row>
  </sheetData>
  <mergeCells count="3">
    <mergeCell ref="B1:L1"/>
    <mergeCell ref="C3:G3"/>
    <mergeCell ref="H3:L3"/>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D2B"/>
    <pageSetUpPr fitToPage="tru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12" min="3" style="0" width="14"/>
  </cols>
  <sheetData>
    <row r="1" customFormat="false" ht="31.5" hidden="false" customHeight="true" outlineLevel="0" collapsed="false">
      <c r="A1" s="15"/>
      <c r="B1" s="16" t="s">
        <v>241</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66" t="s">
        <v>160</v>
      </c>
      <c r="D3" s="66"/>
      <c r="E3" s="66"/>
      <c r="F3" s="66"/>
      <c r="G3" s="66"/>
      <c r="H3" s="67" t="s">
        <v>161</v>
      </c>
      <c r="I3" s="67"/>
      <c r="J3" s="67"/>
      <c r="K3" s="67"/>
      <c r="L3" s="67"/>
      <c r="M3" s="3"/>
    </row>
    <row r="4" customFormat="false" ht="15" hidden="false" customHeight="false" outlineLevel="0" collapsed="false">
      <c r="A4" s="3"/>
      <c r="B4" s="54" t="s">
        <v>162</v>
      </c>
      <c r="C4" s="68" t="n">
        <v>2021</v>
      </c>
      <c r="D4" s="68" t="n">
        <v>2022</v>
      </c>
      <c r="E4" s="68" t="n">
        <v>2023</v>
      </c>
      <c r="F4" s="68" t="n">
        <v>2024</v>
      </c>
      <c r="G4" s="68" t="n">
        <v>2025</v>
      </c>
      <c r="H4" s="69" t="n">
        <v>2026</v>
      </c>
      <c r="I4" s="69" t="n">
        <v>2027</v>
      </c>
      <c r="J4" s="69" t="n">
        <v>2028</v>
      </c>
      <c r="K4" s="69" t="n">
        <v>2029</v>
      </c>
      <c r="L4" s="69" t="n">
        <v>2030</v>
      </c>
      <c r="M4" s="3"/>
    </row>
    <row r="5" customFormat="false" ht="15" hidden="false" customHeight="false" outlineLevel="0" collapsed="false">
      <c r="A5" s="3"/>
      <c r="B5" s="30" t="s">
        <v>95</v>
      </c>
      <c r="C5" s="3"/>
      <c r="D5" s="3"/>
      <c r="E5" s="3"/>
      <c r="F5" s="3"/>
      <c r="G5" s="3"/>
      <c r="H5" s="3"/>
      <c r="I5" s="3"/>
      <c r="J5" s="3"/>
      <c r="K5" s="3"/>
      <c r="L5" s="3"/>
      <c r="M5" s="3"/>
    </row>
    <row r="6" customFormat="false" ht="21.75" hidden="false" customHeight="true" outlineLevel="0" collapsed="false">
      <c r="A6" s="3"/>
      <c r="B6" s="20" t="s">
        <v>242</v>
      </c>
      <c r="C6" s="15"/>
      <c r="D6" s="15"/>
      <c r="E6" s="15"/>
      <c r="F6" s="15"/>
      <c r="G6" s="15"/>
      <c r="H6" s="15"/>
      <c r="I6" s="15"/>
      <c r="J6" s="15"/>
      <c r="K6" s="15"/>
      <c r="L6" s="15"/>
      <c r="M6" s="3"/>
    </row>
    <row r="7" customFormat="false" ht="15" hidden="false" customHeight="false" outlineLevel="0" collapsed="false">
      <c r="A7" s="3"/>
      <c r="B7" s="38" t="s">
        <v>243</v>
      </c>
      <c r="C7" s="102" t="n">
        <f aca="false">Assumptions!$C$43</f>
        <v>55000</v>
      </c>
      <c r="D7" s="99" t="n">
        <f aca="false">C10</f>
        <v>60000</v>
      </c>
      <c r="E7" s="99" t="n">
        <f aca="false">D10</f>
        <v>60000</v>
      </c>
      <c r="F7" s="99" t="n">
        <f aca="false">E10</f>
        <v>60000</v>
      </c>
      <c r="G7" s="99" t="n">
        <f aca="false">F10</f>
        <v>60000</v>
      </c>
      <c r="H7" s="99" t="n">
        <f aca="false">G10</f>
        <v>60000</v>
      </c>
      <c r="I7" s="99" t="n">
        <f aca="false">H10</f>
        <v>60000</v>
      </c>
      <c r="J7" s="99" t="n">
        <f aca="false">I10</f>
        <v>55000</v>
      </c>
      <c r="K7" s="99" t="n">
        <f aca="false">J10</f>
        <v>50000</v>
      </c>
      <c r="L7" s="99" t="n">
        <f aca="false">K10</f>
        <v>45000</v>
      </c>
      <c r="M7" s="3"/>
    </row>
    <row r="8" customFormat="false" ht="15" hidden="false" customHeight="false" outlineLevel="0" collapsed="false">
      <c r="A8" s="3"/>
      <c r="B8" s="38" t="s">
        <v>244</v>
      </c>
      <c r="C8" s="84" t="n">
        <v>5000</v>
      </c>
      <c r="D8" s="84" t="n">
        <v>0</v>
      </c>
      <c r="E8" s="84" t="n">
        <v>0</v>
      </c>
      <c r="F8" s="84" t="n">
        <v>0</v>
      </c>
      <c r="G8" s="84" t="n">
        <v>0</v>
      </c>
      <c r="H8" s="84" t="n">
        <v>0</v>
      </c>
      <c r="I8" s="84" t="n">
        <v>0</v>
      </c>
      <c r="J8" s="84" t="n">
        <v>0</v>
      </c>
      <c r="K8" s="84" t="n">
        <v>0</v>
      </c>
      <c r="L8" s="84" t="n">
        <v>0</v>
      </c>
      <c r="M8" s="3"/>
    </row>
    <row r="9" customFormat="false" ht="15" hidden="false" customHeight="false" outlineLevel="0" collapsed="false">
      <c r="A9" s="3"/>
      <c r="B9" s="38" t="s">
        <v>245</v>
      </c>
      <c r="C9" s="84" t="n">
        <v>0</v>
      </c>
      <c r="D9" s="84" t="n">
        <v>0</v>
      </c>
      <c r="E9" s="84" t="n">
        <v>0</v>
      </c>
      <c r="F9" s="84" t="n">
        <v>0</v>
      </c>
      <c r="G9" s="84" t="n">
        <v>0</v>
      </c>
      <c r="H9" s="84" t="n">
        <v>0</v>
      </c>
      <c r="I9" s="84" t="n">
        <v>-5000</v>
      </c>
      <c r="J9" s="84" t="n">
        <v>-5000</v>
      </c>
      <c r="K9" s="84" t="n">
        <v>-5000</v>
      </c>
      <c r="L9" s="84" t="n">
        <v>-5000</v>
      </c>
      <c r="M9" s="3"/>
    </row>
    <row r="10" customFormat="false" ht="15" hidden="false" customHeight="false" outlineLevel="0" collapsed="false">
      <c r="A10" s="3"/>
      <c r="B10" s="80" t="s">
        <v>246</v>
      </c>
      <c r="C10" s="101" t="n">
        <f aca="false">C7+C8+C9</f>
        <v>60000</v>
      </c>
      <c r="D10" s="101" t="n">
        <f aca="false">D7+D8+D9</f>
        <v>60000</v>
      </c>
      <c r="E10" s="101" t="n">
        <f aca="false">E7+E8+E9</f>
        <v>60000</v>
      </c>
      <c r="F10" s="101" t="n">
        <f aca="false">F7+F8+F9</f>
        <v>60000</v>
      </c>
      <c r="G10" s="101" t="n">
        <f aca="false">G7+G8+G9</f>
        <v>60000</v>
      </c>
      <c r="H10" s="101" t="n">
        <f aca="false">H7+H8+H9</f>
        <v>60000</v>
      </c>
      <c r="I10" s="101" t="n">
        <f aca="false">I7+I8+I9</f>
        <v>55000</v>
      </c>
      <c r="J10" s="101" t="n">
        <f aca="false">J7+J8+J9</f>
        <v>50000</v>
      </c>
      <c r="K10" s="101" t="n">
        <f aca="false">K7+K8+K9</f>
        <v>45000</v>
      </c>
      <c r="L10" s="101" t="n">
        <f aca="false">L7+L8+L9</f>
        <v>40000</v>
      </c>
      <c r="M10" s="3"/>
    </row>
    <row r="11" customFormat="false" ht="15" hidden="false" customHeight="false" outlineLevel="0" collapsed="false">
      <c r="A11" s="3"/>
      <c r="B11" s="3"/>
      <c r="C11" s="3"/>
      <c r="D11" s="3"/>
      <c r="E11" s="3"/>
      <c r="F11" s="3"/>
      <c r="G11" s="3"/>
      <c r="H11" s="3"/>
      <c r="I11" s="3"/>
      <c r="J11" s="3"/>
      <c r="K11" s="3"/>
      <c r="L11" s="3"/>
      <c r="M11" s="3"/>
    </row>
    <row r="12" customFormat="false" ht="21.75" hidden="false" customHeight="true" outlineLevel="0" collapsed="false">
      <c r="A12" s="3"/>
      <c r="B12" s="20" t="s">
        <v>247</v>
      </c>
      <c r="C12" s="15"/>
      <c r="D12" s="15"/>
      <c r="E12" s="15"/>
      <c r="F12" s="15"/>
      <c r="G12" s="15"/>
      <c r="H12" s="15"/>
      <c r="I12" s="15"/>
      <c r="J12" s="15"/>
      <c r="K12" s="15"/>
      <c r="L12" s="15"/>
      <c r="M12" s="3"/>
    </row>
    <row r="13" customFormat="false" ht="15" hidden="false" customHeight="false" outlineLevel="0" collapsed="false">
      <c r="A13" s="3"/>
      <c r="B13" s="38" t="s">
        <v>248</v>
      </c>
      <c r="C13" s="74" t="n">
        <f aca="false">Assumptions!$C$37</f>
        <v>0.055</v>
      </c>
      <c r="D13" s="74" t="n">
        <f aca="false">Assumptions!$C$37</f>
        <v>0.055</v>
      </c>
      <c r="E13" s="74" t="n">
        <f aca="false">Assumptions!$C$37</f>
        <v>0.055</v>
      </c>
      <c r="F13" s="74" t="n">
        <f aca="false">Assumptions!$C$37</f>
        <v>0.055</v>
      </c>
      <c r="G13" s="74" t="n">
        <f aca="false">Assumptions!$C$37</f>
        <v>0.055</v>
      </c>
      <c r="H13" s="74" t="n">
        <f aca="false">Assumptions!$C$37</f>
        <v>0.055</v>
      </c>
      <c r="I13" s="74" t="n">
        <f aca="false">Assumptions!$C$37</f>
        <v>0.055</v>
      </c>
      <c r="J13" s="74" t="n">
        <f aca="false">Assumptions!$C$37</f>
        <v>0.055</v>
      </c>
      <c r="K13" s="74" t="n">
        <f aca="false">Assumptions!$C$37</f>
        <v>0.055</v>
      </c>
      <c r="L13" s="74" t="n">
        <f aca="false">Assumptions!$C$37</f>
        <v>0.055</v>
      </c>
      <c r="M13" s="3"/>
    </row>
    <row r="14" customFormat="false" ht="15" hidden="false" customHeight="false" outlineLevel="0" collapsed="false">
      <c r="A14" s="3"/>
      <c r="B14" s="38" t="s">
        <v>249</v>
      </c>
      <c r="C14" s="107" t="n">
        <f aca="false">AVERAGE(C7,C10)</f>
        <v>57500</v>
      </c>
      <c r="D14" s="107" t="n">
        <f aca="false">AVERAGE(D7,D10)</f>
        <v>60000</v>
      </c>
      <c r="E14" s="107" t="n">
        <f aca="false">AVERAGE(E7,E10)</f>
        <v>60000</v>
      </c>
      <c r="F14" s="107" t="n">
        <f aca="false">AVERAGE(F7,F10)</f>
        <v>60000</v>
      </c>
      <c r="G14" s="107" t="n">
        <f aca="false">AVERAGE(G7,G10)</f>
        <v>60000</v>
      </c>
      <c r="H14" s="107" t="n">
        <f aca="false">AVERAGE(H7,H10)</f>
        <v>60000</v>
      </c>
      <c r="I14" s="107" t="n">
        <f aca="false">AVERAGE(I7,I10)</f>
        <v>57500</v>
      </c>
      <c r="J14" s="107" t="n">
        <f aca="false">AVERAGE(J7,J10)</f>
        <v>52500</v>
      </c>
      <c r="K14" s="107" t="n">
        <f aca="false">AVERAGE(K7,K10)</f>
        <v>47500</v>
      </c>
      <c r="L14" s="107" t="n">
        <f aca="false">AVERAGE(L7,L10)</f>
        <v>42500</v>
      </c>
      <c r="M14" s="3"/>
    </row>
    <row r="15" customFormat="false" ht="15" hidden="false" customHeight="false" outlineLevel="0" collapsed="false">
      <c r="A15" s="3"/>
      <c r="B15" s="92" t="s">
        <v>250</v>
      </c>
      <c r="C15" s="93" t="n">
        <f aca="false">-C14*C13</f>
        <v>-3162.5</v>
      </c>
      <c r="D15" s="93" t="n">
        <f aca="false">-D14*D13</f>
        <v>-3300</v>
      </c>
      <c r="E15" s="93" t="n">
        <f aca="false">-E14*E13</f>
        <v>-3300</v>
      </c>
      <c r="F15" s="93" t="n">
        <f aca="false">-F14*F13</f>
        <v>-3300</v>
      </c>
      <c r="G15" s="93" t="n">
        <f aca="false">-G14*G13</f>
        <v>-3300</v>
      </c>
      <c r="H15" s="93" t="n">
        <f aca="false">-H14*H13</f>
        <v>-3300</v>
      </c>
      <c r="I15" s="93" t="n">
        <f aca="false">-I14*I13</f>
        <v>-3162.5</v>
      </c>
      <c r="J15" s="93" t="n">
        <f aca="false">-J14*J13</f>
        <v>-2887.5</v>
      </c>
      <c r="K15" s="93" t="n">
        <f aca="false">-K14*K13</f>
        <v>-2612.5</v>
      </c>
      <c r="L15" s="93" t="n">
        <f aca="false">-L14*L13</f>
        <v>-2337.5</v>
      </c>
      <c r="M15" s="3"/>
    </row>
    <row r="16" customFormat="false" ht="15" hidden="false" customHeight="false" outlineLevel="0" collapsed="false">
      <c r="A16" s="3"/>
      <c r="B16" s="3"/>
      <c r="C16" s="3"/>
      <c r="D16" s="3"/>
      <c r="E16" s="3"/>
      <c r="F16" s="3"/>
      <c r="G16" s="3"/>
      <c r="H16" s="3"/>
      <c r="I16" s="3"/>
      <c r="J16" s="3"/>
      <c r="K16" s="3"/>
      <c r="L16" s="3"/>
      <c r="M16" s="3"/>
    </row>
    <row r="17" customFormat="false" ht="15" hidden="false" customHeight="false" outlineLevel="0" collapsed="false">
      <c r="A17" s="3"/>
      <c r="B17" s="3"/>
      <c r="C17" s="3"/>
      <c r="D17" s="3"/>
      <c r="E17" s="3"/>
      <c r="F17" s="3"/>
      <c r="G17" s="3"/>
      <c r="H17" s="3"/>
      <c r="I17" s="3"/>
      <c r="J17" s="3"/>
      <c r="K17" s="3"/>
      <c r="L17" s="3"/>
      <c r="M17" s="3"/>
    </row>
  </sheetData>
  <mergeCells count="3">
    <mergeCell ref="B1:L1"/>
    <mergeCell ref="C3:G3"/>
    <mergeCell ref="H3:L3"/>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D2B"/>
    <pageSetUpPr fitToPage="tru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12" min="3" style="0" width="14"/>
  </cols>
  <sheetData>
    <row r="1" customFormat="false" ht="31.5" hidden="false" customHeight="true" outlineLevel="0" collapsed="false">
      <c r="A1" s="15"/>
      <c r="B1" s="16" t="s">
        <v>251</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C3" s="108" t="s">
        <v>160</v>
      </c>
      <c r="D3" s="108"/>
      <c r="E3" s="108"/>
      <c r="F3" s="108"/>
      <c r="G3" s="108"/>
      <c r="H3" s="109" t="s">
        <v>161</v>
      </c>
      <c r="I3" s="109"/>
      <c r="J3" s="109"/>
      <c r="K3" s="109"/>
      <c r="L3" s="109"/>
    </row>
    <row r="4" customFormat="false" ht="15" hidden="false" customHeight="false" outlineLevel="0" collapsed="false">
      <c r="B4" s="110" t="s">
        <v>162</v>
      </c>
      <c r="C4" s="68" t="n">
        <v>2021</v>
      </c>
      <c r="D4" s="68" t="n">
        <v>2022</v>
      </c>
      <c r="E4" s="68" t="n">
        <v>2023</v>
      </c>
      <c r="F4" s="68" t="n">
        <v>2024</v>
      </c>
      <c r="G4" s="68" t="n">
        <v>2025</v>
      </c>
      <c r="H4" s="69" t="n">
        <v>2026</v>
      </c>
      <c r="I4" s="69" t="n">
        <v>2027</v>
      </c>
      <c r="J4" s="69" t="n">
        <v>2028</v>
      </c>
      <c r="K4" s="69" t="n">
        <v>2029</v>
      </c>
      <c r="L4" s="69" t="n">
        <v>2030</v>
      </c>
    </row>
    <row r="5" customFormat="false" ht="15" hidden="false" customHeight="false" outlineLevel="0" collapsed="false">
      <c r="B5" s="111" t="s">
        <v>95</v>
      </c>
    </row>
    <row r="6" customFormat="false" ht="21.75" hidden="false" customHeight="true" outlineLevel="0" collapsed="false">
      <c r="B6" s="20" t="s">
        <v>252</v>
      </c>
      <c r="C6" s="15"/>
      <c r="D6" s="15"/>
      <c r="E6" s="15"/>
      <c r="F6" s="15"/>
      <c r="G6" s="15"/>
      <c r="H6" s="15"/>
      <c r="I6" s="15"/>
      <c r="J6" s="15"/>
      <c r="K6" s="15"/>
      <c r="L6" s="15"/>
    </row>
    <row r="7" customFormat="false" ht="15" hidden="false" customHeight="false" outlineLevel="0" collapsed="false">
      <c r="B7" s="112" t="s">
        <v>253</v>
      </c>
      <c r="C7" s="84" t="n">
        <v>42300</v>
      </c>
      <c r="D7" s="113" t="n">
        <f aca="false">'Cash Flow'!D25</f>
        <v>78506.4351189</v>
      </c>
      <c r="E7" s="113" t="n">
        <f aca="false">'Cash Flow'!E25</f>
        <v>120422.6960218</v>
      </c>
      <c r="F7" s="113" t="n">
        <f aca="false">'Cash Flow'!F25</f>
        <v>170031.3840108</v>
      </c>
      <c r="G7" s="113" t="n">
        <f aca="false">'Cash Flow'!G25</f>
        <v>227157.0334658</v>
      </c>
      <c r="H7" s="113" t="n">
        <f aca="false">'Cash Flow'!H25</f>
        <v>291218.949158302</v>
      </c>
      <c r="I7" s="113" t="n">
        <f aca="false">'Cash Flow'!I25</f>
        <v>356660.425534487</v>
      </c>
      <c r="J7" s="113" t="n">
        <f aca="false">'Cash Flow'!J25</f>
        <v>429039.740939248</v>
      </c>
      <c r="K7" s="113" t="n">
        <f aca="false">'Cash Flow'!K25</f>
        <v>507708.059490273</v>
      </c>
      <c r="L7" s="113" t="n">
        <f aca="false">'Cash Flow'!L25</f>
        <v>592451.421404981</v>
      </c>
    </row>
    <row r="8" customFormat="false" ht="15" hidden="false" customHeight="false" outlineLevel="0" collapsed="false">
      <c r="B8" s="112" t="s">
        <v>254</v>
      </c>
      <c r="C8" s="113" t="n">
        <f aca="false">'Working Capital'!C12</f>
        <v>26930.004</v>
      </c>
      <c r="D8" s="113" t="n">
        <f aca="false">'Working Capital'!D12</f>
        <v>28961.482</v>
      </c>
      <c r="E8" s="113" t="n">
        <f aca="false">'Working Capital'!E12</f>
        <v>31795.041</v>
      </c>
      <c r="F8" s="113" t="n">
        <f aca="false">'Working Capital'!F12</f>
        <v>34440.61</v>
      </c>
      <c r="G8" s="113" t="n">
        <f aca="false">'Working Capital'!G12</f>
        <v>37488.92</v>
      </c>
      <c r="H8" s="113" t="n">
        <f aca="false">'Working Capital'!H12</f>
        <v>39811.7300826</v>
      </c>
      <c r="I8" s="113" t="n">
        <f aca="false">'Working Capital'!I12</f>
        <v>42151.3739160376</v>
      </c>
      <c r="J8" s="113" t="n">
        <f aca="false">'Working Capital'!J12</f>
        <v>44488.2389058064</v>
      </c>
      <c r="K8" s="113" t="n">
        <f aca="false">'Working Capital'!K12</f>
        <v>46818.2387982329</v>
      </c>
      <c r="L8" s="113" t="n">
        <f aca="false">'Working Capital'!L12</f>
        <v>49119.9410111353</v>
      </c>
    </row>
    <row r="9" customFormat="false" ht="15" hidden="false" customHeight="false" outlineLevel="0" collapsed="false">
      <c r="B9" s="112" t="s">
        <v>255</v>
      </c>
      <c r="C9" s="113" t="n">
        <f aca="false">'Working Capital'!C13</f>
        <v>17773.80264</v>
      </c>
      <c r="D9" s="113" t="n">
        <f aca="false">'Working Capital'!D13</f>
        <v>18897.367005</v>
      </c>
      <c r="E9" s="113" t="n">
        <f aca="false">'Working Capital'!E13</f>
        <v>20507.801445</v>
      </c>
      <c r="F9" s="113" t="n">
        <f aca="false">'Working Capital'!F13</f>
        <v>21955.888875</v>
      </c>
      <c r="G9" s="113" t="n">
        <f aca="false">'Working Capital'!G13</f>
        <v>23618.0196</v>
      </c>
      <c r="H9" s="113" t="n">
        <f aca="false">'Working Capital'!H13</f>
        <v>24902.2371666663</v>
      </c>
      <c r="I9" s="113" t="n">
        <f aca="false">'Working Capital'!I13</f>
        <v>26176.0032018593</v>
      </c>
      <c r="J9" s="113" t="n">
        <f aca="false">'Working Capital'!J13</f>
        <v>27426.9992854297</v>
      </c>
      <c r="K9" s="113" t="n">
        <f aca="false">'Working Capital'!K13</f>
        <v>28722.9895027159</v>
      </c>
      <c r="L9" s="113" t="n">
        <f aca="false">'Working Capital'!L13</f>
        <v>29987.7239872981</v>
      </c>
    </row>
    <row r="10" customFormat="false" ht="15" hidden="false" customHeight="false" outlineLevel="0" collapsed="false">
      <c r="B10" s="114" t="s">
        <v>256</v>
      </c>
      <c r="C10" s="115" t="n">
        <f aca="false">SUM(C7:C9)</f>
        <v>87003.80664</v>
      </c>
      <c r="D10" s="115" t="n">
        <f aca="false">SUM(D7:D9)</f>
        <v>126365.2841239</v>
      </c>
      <c r="E10" s="115" t="n">
        <f aca="false">SUM(E7:E9)</f>
        <v>172725.5384668</v>
      </c>
      <c r="F10" s="115" t="n">
        <f aca="false">SUM(F7:F9)</f>
        <v>226427.8828858</v>
      </c>
      <c r="G10" s="115" t="n">
        <f aca="false">SUM(G7:G9)</f>
        <v>288263.9730658</v>
      </c>
      <c r="H10" s="115" t="n">
        <f aca="false">SUM(H7:H9)</f>
        <v>355932.916407568</v>
      </c>
      <c r="I10" s="115" t="n">
        <f aca="false">SUM(I7:I9)</f>
        <v>424987.802652384</v>
      </c>
      <c r="J10" s="115" t="n">
        <f aca="false">SUM(J7:J9)</f>
        <v>500954.979130484</v>
      </c>
      <c r="K10" s="115" t="n">
        <f aca="false">SUM(K7:K9)</f>
        <v>583249.287791222</v>
      </c>
      <c r="L10" s="115" t="n">
        <f aca="false">SUM(L7:L9)</f>
        <v>671559.086403414</v>
      </c>
    </row>
    <row r="11" customFormat="false" ht="15" hidden="false" customHeight="false" outlineLevel="0" collapsed="false">
      <c r="B11" s="112" t="s">
        <v>257</v>
      </c>
      <c r="C11" s="84" t="n">
        <v>180000</v>
      </c>
      <c r="D11" s="116" t="n">
        <f aca="false">C11+'Income Statement'!D6*Assumptions!D29+'Income Statement'!D15</f>
        <v>180289.61482</v>
      </c>
      <c r="E11" s="116" t="n">
        <f aca="false">D11+'Income Statement'!E6*Assumptions!E29+'Income Statement'!E15</f>
        <v>180607.56523</v>
      </c>
      <c r="F11" s="116" t="n">
        <f aca="false">E11+'Income Statement'!F6*Assumptions!F29+'Income Statement'!F15</f>
        <v>180607.56523</v>
      </c>
      <c r="G11" s="116" t="n">
        <f aca="false">F11+'Income Statement'!G6*Assumptions!G29+'Income Statement'!G15</f>
        <v>180607.56523</v>
      </c>
      <c r="H11" s="116" t="n">
        <f aca="false">G11+'Income Statement'!H6*Assumptions!H29+'Income Statement'!H15</f>
        <v>180607.56523</v>
      </c>
      <c r="I11" s="116" t="n">
        <f aca="false">H11+'Income Statement'!I6*Assumptions!I29+'Income Statement'!I15</f>
        <v>180607.56523</v>
      </c>
      <c r="J11" s="116" t="n">
        <f aca="false">I11+'Income Statement'!J6*Assumptions!J29+'Income Statement'!J15</f>
        <v>180607.56523</v>
      </c>
      <c r="K11" s="116" t="n">
        <f aca="false">J11+'Income Statement'!K6*Assumptions!K29+'Income Statement'!K15</f>
        <v>180607.56523</v>
      </c>
      <c r="L11" s="116" t="n">
        <f aca="false">K11+'Income Statement'!L6*Assumptions!L29+'Income Statement'!L15</f>
        <v>180607.56523</v>
      </c>
    </row>
    <row r="12" customFormat="false" ht="15" hidden="false" customHeight="false" outlineLevel="0" collapsed="false">
      <c r="B12" s="117" t="s">
        <v>258</v>
      </c>
      <c r="C12" s="101" t="n">
        <f aca="false">C10+C11</f>
        <v>267003.80664</v>
      </c>
      <c r="D12" s="101" t="n">
        <f aca="false">D10+D11</f>
        <v>306654.8989439</v>
      </c>
      <c r="E12" s="101" t="n">
        <f aca="false">E10+E11</f>
        <v>353333.1036968</v>
      </c>
      <c r="F12" s="101" t="n">
        <f aca="false">F10+F11</f>
        <v>407035.4481158</v>
      </c>
      <c r="G12" s="101" t="n">
        <f aca="false">G10+G11</f>
        <v>468871.5382958</v>
      </c>
      <c r="H12" s="101" t="n">
        <f aca="false">H10+H11</f>
        <v>536540.481637568</v>
      </c>
      <c r="I12" s="101" t="n">
        <f aca="false">I10+I11</f>
        <v>605595.367882384</v>
      </c>
      <c r="J12" s="101" t="n">
        <f aca="false">J10+J11</f>
        <v>681562.544360484</v>
      </c>
      <c r="K12" s="101" t="n">
        <f aca="false">K10+K11</f>
        <v>763856.853021222</v>
      </c>
      <c r="L12" s="101" t="n">
        <f aca="false">L10+L11</f>
        <v>852166.651633414</v>
      </c>
    </row>
    <row r="14" customFormat="false" ht="21.75" hidden="false" customHeight="true" outlineLevel="0" collapsed="false">
      <c r="B14" s="20" t="s">
        <v>259</v>
      </c>
      <c r="C14" s="15"/>
      <c r="D14" s="15"/>
      <c r="E14" s="15"/>
      <c r="F14" s="15"/>
      <c r="G14" s="15"/>
      <c r="H14" s="15"/>
      <c r="I14" s="15"/>
      <c r="J14" s="15"/>
      <c r="K14" s="15"/>
      <c r="L14" s="15"/>
    </row>
    <row r="15" customFormat="false" ht="15" hidden="false" customHeight="false" outlineLevel="0" collapsed="false">
      <c r="B15" s="112" t="s">
        <v>260</v>
      </c>
      <c r="C15" s="113" t="n">
        <f aca="false">'Working Capital'!C14</f>
        <v>14219.042112</v>
      </c>
      <c r="D15" s="113" t="n">
        <f aca="false">'Working Capital'!D14</f>
        <v>15117.893604</v>
      </c>
      <c r="E15" s="113" t="n">
        <f aca="false">'Working Capital'!E14</f>
        <v>16406.241156</v>
      </c>
      <c r="F15" s="113" t="n">
        <f aca="false">'Working Capital'!F14</f>
        <v>17564.7111</v>
      </c>
      <c r="G15" s="113" t="n">
        <f aca="false">'Working Capital'!G14</f>
        <v>18894.41568</v>
      </c>
      <c r="H15" s="113" t="n">
        <f aca="false">'Working Capital'!H14</f>
        <v>19921.789733333</v>
      </c>
      <c r="I15" s="113" t="n">
        <f aca="false">'Working Capital'!I14</f>
        <v>20940.8025614875</v>
      </c>
      <c r="J15" s="113" t="n">
        <f aca="false">'Working Capital'!J14</f>
        <v>21941.5994283437</v>
      </c>
      <c r="K15" s="113" t="n">
        <f aca="false">'Working Capital'!K14</f>
        <v>22978.3916021727</v>
      </c>
      <c r="L15" s="113" t="n">
        <f aca="false">'Working Capital'!L14</f>
        <v>23990.1791898385</v>
      </c>
    </row>
    <row r="16" customFormat="false" ht="15" hidden="false" customHeight="false" outlineLevel="0" collapsed="false">
      <c r="B16" s="112" t="s">
        <v>261</v>
      </c>
      <c r="C16" s="113" t="n">
        <f aca="false">'Debt Schedule'!C10</f>
        <v>60000</v>
      </c>
      <c r="D16" s="113" t="n">
        <f aca="false">'Debt Schedule'!D10</f>
        <v>60000</v>
      </c>
      <c r="E16" s="113" t="n">
        <f aca="false">'Debt Schedule'!E10</f>
        <v>60000</v>
      </c>
      <c r="F16" s="113" t="n">
        <f aca="false">'Debt Schedule'!F10</f>
        <v>60000</v>
      </c>
      <c r="G16" s="113" t="n">
        <f aca="false">'Debt Schedule'!G10</f>
        <v>60000</v>
      </c>
      <c r="H16" s="113" t="n">
        <f aca="false">'Debt Schedule'!H10</f>
        <v>60000</v>
      </c>
      <c r="I16" s="113" t="n">
        <f aca="false">'Debt Schedule'!I10</f>
        <v>55000</v>
      </c>
      <c r="J16" s="113" t="n">
        <f aca="false">'Debt Schedule'!J10</f>
        <v>50000</v>
      </c>
      <c r="K16" s="113" t="n">
        <f aca="false">'Debt Schedule'!K10</f>
        <v>45000</v>
      </c>
      <c r="L16" s="113" t="n">
        <f aca="false">'Debt Schedule'!L10</f>
        <v>40000</v>
      </c>
    </row>
    <row r="17" customFormat="false" ht="15" hidden="false" customHeight="false" outlineLevel="0" collapsed="false">
      <c r="B17" s="114" t="s">
        <v>262</v>
      </c>
      <c r="C17" s="115" t="n">
        <f aca="false">C15+C16</f>
        <v>74219.042112</v>
      </c>
      <c r="D17" s="115" t="n">
        <f aca="false">D15+D16</f>
        <v>75117.893604</v>
      </c>
      <c r="E17" s="115" t="n">
        <f aca="false">E15+E16</f>
        <v>76406.241156</v>
      </c>
      <c r="F17" s="115" t="n">
        <f aca="false">F15+F16</f>
        <v>77564.7111</v>
      </c>
      <c r="G17" s="115" t="n">
        <f aca="false">G15+G16</f>
        <v>78894.41568</v>
      </c>
      <c r="H17" s="115" t="n">
        <f aca="false">H15+H16</f>
        <v>79921.789733333</v>
      </c>
      <c r="I17" s="115" t="n">
        <f aca="false">I15+I16</f>
        <v>75940.8025614875</v>
      </c>
      <c r="J17" s="115" t="n">
        <f aca="false">J15+J16</f>
        <v>71941.5994283437</v>
      </c>
      <c r="K17" s="115" t="n">
        <f aca="false">K15+K16</f>
        <v>67978.3916021727</v>
      </c>
      <c r="L17" s="115" t="n">
        <f aca="false">L15+L16</f>
        <v>63990.1791898385</v>
      </c>
    </row>
    <row r="18" customFormat="false" ht="15" hidden="false" customHeight="false" outlineLevel="0" collapsed="false">
      <c r="B18" s="112" t="s">
        <v>263</v>
      </c>
      <c r="C18" s="113" t="n">
        <f aca="false">Assumptions!$C$44</f>
        <v>50000</v>
      </c>
      <c r="D18" s="113" t="n">
        <f aca="false">Assumptions!$C$44</f>
        <v>50000</v>
      </c>
      <c r="E18" s="113" t="n">
        <f aca="false">Assumptions!$C$44</f>
        <v>50000</v>
      </c>
      <c r="F18" s="113" t="n">
        <f aca="false">Assumptions!$C$44</f>
        <v>50000</v>
      </c>
      <c r="G18" s="113" t="n">
        <f aca="false">Assumptions!$C$44</f>
        <v>50000</v>
      </c>
      <c r="H18" s="113" t="n">
        <f aca="false">Assumptions!$C$44</f>
        <v>50000</v>
      </c>
      <c r="I18" s="113" t="n">
        <f aca="false">Assumptions!$C$44</f>
        <v>50000</v>
      </c>
      <c r="J18" s="113" t="n">
        <f aca="false">Assumptions!$C$44</f>
        <v>50000</v>
      </c>
      <c r="K18" s="113" t="n">
        <f aca="false">Assumptions!$C$44</f>
        <v>50000</v>
      </c>
      <c r="L18" s="113" t="n">
        <f aca="false">Assumptions!$C$44</f>
        <v>50000</v>
      </c>
    </row>
    <row r="19" customFormat="false" ht="15" hidden="false" customHeight="false" outlineLevel="0" collapsed="false">
      <c r="B19" s="112" t="s">
        <v>264</v>
      </c>
      <c r="C19" s="84" t="n">
        <v>142784.7645</v>
      </c>
      <c r="D19" s="116" t="n">
        <f aca="false">C19+'Income Statement'!D22</f>
        <v>181537.0053119</v>
      </c>
      <c r="E19" s="116" t="n">
        <f aca="false">D19+'Income Statement'!E22</f>
        <v>226926.8625128</v>
      </c>
      <c r="F19" s="116" t="n">
        <f aca="false">E19+'Income Statement'!F22</f>
        <v>279470.7369878</v>
      </c>
      <c r="G19" s="116" t="n">
        <f aca="false">F19+'Income Statement'!G22</f>
        <v>339977.1225878</v>
      </c>
      <c r="H19" s="116" t="n">
        <f aca="false">G19+'Income Statement'!H22</f>
        <v>406618.691876235</v>
      </c>
      <c r="I19" s="116" t="n">
        <f aca="false">H19+'Income Statement'!I22</f>
        <v>479654.565292897</v>
      </c>
      <c r="J19" s="116" t="n">
        <f aca="false">I19+'Income Statement'!J22</f>
        <v>559620.94490414</v>
      </c>
      <c r="K19" s="116" t="n">
        <f aca="false">J19+'Income Statement'!K22</f>
        <v>645878.461391049</v>
      </c>
      <c r="L19" s="116" t="n">
        <f aca="false">K19+'Income Statement'!L22</f>
        <v>738176.472415576</v>
      </c>
    </row>
    <row r="20" customFormat="false" ht="15" hidden="false" customHeight="false" outlineLevel="0" collapsed="false">
      <c r="B20" s="114" t="s">
        <v>265</v>
      </c>
      <c r="C20" s="115" t="n">
        <f aca="false">C18+C19</f>
        <v>192784.7645</v>
      </c>
      <c r="D20" s="115" t="n">
        <f aca="false">D18+D19</f>
        <v>231537.0053119</v>
      </c>
      <c r="E20" s="115" t="n">
        <f aca="false">E18+E19</f>
        <v>276926.8625128</v>
      </c>
      <c r="F20" s="115" t="n">
        <f aca="false">F18+F19</f>
        <v>329470.7369878</v>
      </c>
      <c r="G20" s="115" t="n">
        <f aca="false">G18+G19</f>
        <v>389977.1225878</v>
      </c>
      <c r="H20" s="115" t="n">
        <f aca="false">H18+H19</f>
        <v>456618.691876235</v>
      </c>
      <c r="I20" s="115" t="n">
        <f aca="false">I18+I19</f>
        <v>529654.565292897</v>
      </c>
      <c r="J20" s="115" t="n">
        <f aca="false">J18+J19</f>
        <v>609620.94490414</v>
      </c>
      <c r="K20" s="115" t="n">
        <f aca="false">K18+K19</f>
        <v>695878.461391049</v>
      </c>
      <c r="L20" s="115" t="n">
        <f aca="false">L18+L19</f>
        <v>788176.472415576</v>
      </c>
    </row>
    <row r="21" customFormat="false" ht="15" hidden="false" customHeight="false" outlineLevel="0" collapsed="false">
      <c r="B21" s="117" t="s">
        <v>266</v>
      </c>
      <c r="C21" s="101" t="n">
        <f aca="false">C17+C20</f>
        <v>267003.806612</v>
      </c>
      <c r="D21" s="101" t="n">
        <f aca="false">D17+D20</f>
        <v>306654.8989159</v>
      </c>
      <c r="E21" s="101" t="n">
        <f aca="false">E17+E20</f>
        <v>353333.1036688</v>
      </c>
      <c r="F21" s="101" t="n">
        <f aca="false">F17+F20</f>
        <v>407035.4480878</v>
      </c>
      <c r="G21" s="101" t="n">
        <f aca="false">G17+G20</f>
        <v>468871.5382678</v>
      </c>
      <c r="H21" s="101" t="n">
        <f aca="false">H17+H20</f>
        <v>536540.481609568</v>
      </c>
      <c r="I21" s="101" t="n">
        <f aca="false">I17+I20</f>
        <v>605595.367854384</v>
      </c>
      <c r="J21" s="101" t="n">
        <f aca="false">J17+J20</f>
        <v>681562.544332484</v>
      </c>
      <c r="K21" s="101" t="n">
        <f aca="false">K17+K20</f>
        <v>763856.852993222</v>
      </c>
      <c r="L21" s="101" t="n">
        <f aca="false">L17+L20</f>
        <v>852166.651605414</v>
      </c>
    </row>
    <row r="22" customFormat="false" ht="15" hidden="false" customHeight="false" outlineLevel="0" collapsed="false">
      <c r="B22" s="110" t="s">
        <v>267</v>
      </c>
      <c r="C22" s="118" t="n">
        <f aca="false">C12-C21</f>
        <v>2.79999803751707E-005</v>
      </c>
      <c r="D22" s="118" t="n">
        <f aca="false">D12-D21</f>
        <v>2.80000385828316E-005</v>
      </c>
      <c r="E22" s="118" t="n">
        <f aca="false">E12-E21</f>
        <v>2.80000385828316E-005</v>
      </c>
      <c r="F22" s="118" t="n">
        <f aca="false">F12-F21</f>
        <v>2.79999803751707E-005</v>
      </c>
      <c r="G22" s="118" t="n">
        <f aca="false">G12-G21</f>
        <v>2.79999803751707E-005</v>
      </c>
      <c r="H22" s="118" t="n">
        <f aca="false">H12-H21</f>
        <v>2.79999803751707E-005</v>
      </c>
      <c r="I22" s="118" t="n">
        <f aca="false">I12-I21</f>
        <v>2.79999803751707E-005</v>
      </c>
      <c r="J22" s="118" t="n">
        <f aca="false">J12-J21</f>
        <v>2.80000967904925E-005</v>
      </c>
      <c r="K22" s="118" t="n">
        <f aca="false">K12-K21</f>
        <v>2.80000967904925E-005</v>
      </c>
      <c r="L22" s="118" t="n">
        <f aca="false">L12-L21</f>
        <v>2.80000967904925E-005</v>
      </c>
    </row>
  </sheetData>
  <mergeCells count="3">
    <mergeCell ref="B1:L1"/>
    <mergeCell ref="C3:G3"/>
    <mergeCell ref="H3:L3"/>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D2B"/>
    <pageSetUpPr fitToPage="true"/>
  </sheetPr>
  <dimension ref="A1:M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12" min="3" style="0" width="14"/>
  </cols>
  <sheetData>
    <row r="1" customFormat="false" ht="31.5" hidden="false" customHeight="true" outlineLevel="0" collapsed="false">
      <c r="A1" s="15"/>
      <c r="B1" s="16" t="s">
        <v>268</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66" t="s">
        <v>160</v>
      </c>
      <c r="D3" s="66"/>
      <c r="E3" s="66"/>
      <c r="F3" s="66"/>
      <c r="G3" s="66"/>
      <c r="H3" s="67" t="s">
        <v>161</v>
      </c>
      <c r="I3" s="67"/>
      <c r="J3" s="67"/>
      <c r="K3" s="67"/>
      <c r="L3" s="67"/>
      <c r="M3" s="3"/>
    </row>
    <row r="4" customFormat="false" ht="15" hidden="false" customHeight="false" outlineLevel="0" collapsed="false">
      <c r="A4" s="3"/>
      <c r="B4" s="54" t="s">
        <v>162</v>
      </c>
      <c r="C4" s="68" t="n">
        <v>2021</v>
      </c>
      <c r="D4" s="68" t="n">
        <v>2022</v>
      </c>
      <c r="E4" s="68" t="n">
        <v>2023</v>
      </c>
      <c r="F4" s="68" t="n">
        <v>2024</v>
      </c>
      <c r="G4" s="68" t="n">
        <v>2025</v>
      </c>
      <c r="H4" s="69" t="n">
        <v>2026</v>
      </c>
      <c r="I4" s="69" t="n">
        <v>2027</v>
      </c>
      <c r="J4" s="69" t="n">
        <v>2028</v>
      </c>
      <c r="K4" s="69" t="n">
        <v>2029</v>
      </c>
      <c r="L4" s="69" t="n">
        <v>2030</v>
      </c>
      <c r="M4" s="3"/>
    </row>
    <row r="5" customFormat="false" ht="15" hidden="false" customHeight="false" outlineLevel="0" collapsed="false">
      <c r="A5" s="3"/>
      <c r="B5" s="30" t="s">
        <v>95</v>
      </c>
      <c r="C5" s="3"/>
      <c r="D5" s="3"/>
      <c r="E5" s="3"/>
      <c r="F5" s="3"/>
      <c r="G5" s="3"/>
      <c r="H5" s="3"/>
      <c r="I5" s="3"/>
      <c r="J5" s="3"/>
      <c r="K5" s="3"/>
      <c r="L5" s="3"/>
      <c r="M5" s="3"/>
    </row>
    <row r="6" customFormat="false" ht="21.75" hidden="false" customHeight="true" outlineLevel="0" collapsed="false">
      <c r="A6" s="3"/>
      <c r="B6" s="20" t="s">
        <v>269</v>
      </c>
      <c r="C6" s="15"/>
      <c r="D6" s="15"/>
      <c r="E6" s="15"/>
      <c r="F6" s="15"/>
      <c r="G6" s="15"/>
      <c r="H6" s="15"/>
      <c r="I6" s="15"/>
      <c r="J6" s="15"/>
      <c r="K6" s="15"/>
      <c r="L6" s="15"/>
      <c r="M6" s="3"/>
    </row>
    <row r="7" customFormat="false" ht="15" hidden="false" customHeight="false" outlineLevel="0" collapsed="false">
      <c r="A7" s="3"/>
      <c r="B7" s="38" t="s">
        <v>113</v>
      </c>
      <c r="C7" s="119" t="s">
        <v>270</v>
      </c>
      <c r="D7" s="102" t="n">
        <f aca="false">'Income Statement'!D22</f>
        <v>38752.2408119</v>
      </c>
      <c r="E7" s="102" t="n">
        <f aca="false">'Income Statement'!E22</f>
        <v>45389.8572009</v>
      </c>
      <c r="F7" s="102" t="n">
        <f aca="false">'Income Statement'!F22</f>
        <v>52543.874475</v>
      </c>
      <c r="G7" s="102" t="n">
        <f aca="false">'Income Statement'!G22</f>
        <v>60506.3856</v>
      </c>
      <c r="H7" s="102" t="n">
        <f aca="false">'Income Statement'!H22</f>
        <v>66641.5692884349</v>
      </c>
      <c r="I7" s="102" t="n">
        <f aca="false">'Income Statement'!I22</f>
        <v>73035.8734166618</v>
      </c>
      <c r="J7" s="102" t="n">
        <f aca="false">'Income Statement'!J22</f>
        <v>79966.3796112433</v>
      </c>
      <c r="K7" s="102" t="n">
        <f aca="false">'Income Statement'!K22</f>
        <v>86257.5164869094</v>
      </c>
      <c r="L7" s="102" t="n">
        <f aca="false">'Income Statement'!L22</f>
        <v>92298.0110245263</v>
      </c>
      <c r="M7" s="3"/>
    </row>
    <row r="8" customFormat="false" ht="15" hidden="false" customHeight="false" outlineLevel="0" collapsed="false">
      <c r="A8" s="3"/>
      <c r="B8" s="38" t="s">
        <v>271</v>
      </c>
      <c r="C8" s="119" t="s">
        <v>270</v>
      </c>
      <c r="D8" s="99" t="n">
        <f aca="false">-'Income Statement'!D15</f>
        <v>11294.97798</v>
      </c>
      <c r="E8" s="99" t="n">
        <f aca="false">-'Income Statement'!E15</f>
        <v>12082.11558</v>
      </c>
      <c r="F8" s="99" t="n">
        <f aca="false">-'Income Statement'!F15</f>
        <v>12743.0257</v>
      </c>
      <c r="G8" s="99" t="n">
        <f aca="false">-'Income Statement'!G15</f>
        <v>13496.0112</v>
      </c>
      <c r="H8" s="99" t="n">
        <f aca="false">-'Income Statement'!H15</f>
        <v>14332.222829736</v>
      </c>
      <c r="I8" s="99" t="n">
        <f aca="false">-'Income Statement'!I15</f>
        <v>14752.9808706132</v>
      </c>
      <c r="J8" s="99" t="n">
        <f aca="false">-'Income Statement'!J15</f>
        <v>15570.8836170323</v>
      </c>
      <c r="K8" s="99" t="n">
        <f aca="false">-'Income Statement'!K15</f>
        <v>15918.2011913992</v>
      </c>
      <c r="L8" s="99" t="n">
        <f aca="false">-'Income Statement'!L15</f>
        <v>16700.779943786</v>
      </c>
      <c r="M8" s="3"/>
    </row>
    <row r="9" customFormat="false" ht="15" hidden="false" customHeight="false" outlineLevel="0" collapsed="false">
      <c r="A9" s="3"/>
      <c r="B9" s="38" t="s">
        <v>272</v>
      </c>
      <c r="C9" s="119" t="s">
        <v>270</v>
      </c>
      <c r="D9" s="99" t="n">
        <f aca="false">-('Balance Sheet'!D8-'Balance Sheet'!C8)</f>
        <v>-2031.478</v>
      </c>
      <c r="E9" s="99" t="n">
        <f aca="false">-('Balance Sheet'!E8-'Balance Sheet'!D8)</f>
        <v>-2833.559</v>
      </c>
      <c r="F9" s="99" t="n">
        <f aca="false">-('Balance Sheet'!F8-'Balance Sheet'!E8)</f>
        <v>-2645.569</v>
      </c>
      <c r="G9" s="99" t="n">
        <f aca="false">-('Balance Sheet'!G8-'Balance Sheet'!F8)</f>
        <v>-3048.31</v>
      </c>
      <c r="H9" s="99" t="n">
        <f aca="false">-('Balance Sheet'!H8-'Balance Sheet'!G8)</f>
        <v>-2322.81008259999</v>
      </c>
      <c r="I9" s="99" t="n">
        <f aca="false">-('Balance Sheet'!I8-'Balance Sheet'!H8)</f>
        <v>-2339.64383343759</v>
      </c>
      <c r="J9" s="99" t="n">
        <f aca="false">-('Balance Sheet'!J8-'Balance Sheet'!I8)</f>
        <v>-2336.86498976884</v>
      </c>
      <c r="K9" s="99" t="n">
        <f aca="false">-('Balance Sheet'!K8-'Balance Sheet'!J8)</f>
        <v>-2329.9998924265</v>
      </c>
      <c r="L9" s="99" t="n">
        <f aca="false">-('Balance Sheet'!L8-'Balance Sheet'!K8)</f>
        <v>-2301.70221290237</v>
      </c>
      <c r="M9" s="3"/>
    </row>
    <row r="10" customFormat="false" ht="15" hidden="false" customHeight="false" outlineLevel="0" collapsed="false">
      <c r="A10" s="3"/>
      <c r="B10" s="38" t="s">
        <v>273</v>
      </c>
      <c r="C10" s="119" t="s">
        <v>270</v>
      </c>
      <c r="D10" s="99" t="n">
        <f aca="false">-('Balance Sheet'!D9-'Balance Sheet'!C9)</f>
        <v>-1123.56436500001</v>
      </c>
      <c r="E10" s="99" t="n">
        <f aca="false">-('Balance Sheet'!E9-'Balance Sheet'!D9)</f>
        <v>-1610.43444</v>
      </c>
      <c r="F10" s="99" t="n">
        <f aca="false">-('Balance Sheet'!F9-'Balance Sheet'!E9)</f>
        <v>-1448.08743</v>
      </c>
      <c r="G10" s="99" t="n">
        <f aca="false">-('Balance Sheet'!G9-'Balance Sheet'!F9)</f>
        <v>-1662.130725</v>
      </c>
      <c r="H10" s="99" t="n">
        <f aca="false">-('Balance Sheet'!H9-'Balance Sheet'!G9)</f>
        <v>-1284.2175666663</v>
      </c>
      <c r="I10" s="99" t="n">
        <f aca="false">-('Balance Sheet'!I9-'Balance Sheet'!H9)</f>
        <v>-1273.76603519304</v>
      </c>
      <c r="J10" s="99" t="n">
        <f aca="false">-('Balance Sheet'!J9-'Balance Sheet'!I9)</f>
        <v>-1250.99608357033</v>
      </c>
      <c r="K10" s="99" t="n">
        <f aca="false">-('Balance Sheet'!K9-'Balance Sheet'!J9)</f>
        <v>-1295.99021728624</v>
      </c>
      <c r="L10" s="99" t="n">
        <f aca="false">-('Balance Sheet'!L9-'Balance Sheet'!K9)</f>
        <v>-1264.73448458219</v>
      </c>
      <c r="M10" s="3"/>
    </row>
    <row r="11" customFormat="false" ht="15" hidden="false" customHeight="false" outlineLevel="0" collapsed="false">
      <c r="A11" s="3"/>
      <c r="B11" s="38" t="s">
        <v>274</v>
      </c>
      <c r="C11" s="119" t="s">
        <v>270</v>
      </c>
      <c r="D11" s="99" t="n">
        <f aca="false">'Balance Sheet'!D15-'Balance Sheet'!C15</f>
        <v>898.851492000005</v>
      </c>
      <c r="E11" s="99" t="n">
        <f aca="false">'Balance Sheet'!E15-'Balance Sheet'!D15</f>
        <v>1288.347552</v>
      </c>
      <c r="F11" s="99" t="n">
        <f aca="false">'Balance Sheet'!F15-'Balance Sheet'!E15</f>
        <v>1158.469944</v>
      </c>
      <c r="G11" s="99" t="n">
        <f aca="false">'Balance Sheet'!G15-'Balance Sheet'!F15</f>
        <v>1329.70458</v>
      </c>
      <c r="H11" s="99" t="n">
        <f aca="false">'Balance Sheet'!H15-'Balance Sheet'!G15</f>
        <v>1027.37405333304</v>
      </c>
      <c r="I11" s="99" t="n">
        <f aca="false">'Balance Sheet'!I15-'Balance Sheet'!H15</f>
        <v>1019.01282815443</v>
      </c>
      <c r="J11" s="99" t="n">
        <f aca="false">'Balance Sheet'!J15-'Balance Sheet'!I15</f>
        <v>1000.79686685626</v>
      </c>
      <c r="K11" s="99" t="n">
        <f aca="false">'Balance Sheet'!K15-'Balance Sheet'!J15</f>
        <v>1036.792173829</v>
      </c>
      <c r="L11" s="99" t="n">
        <f aca="false">'Balance Sheet'!L15-'Balance Sheet'!K15</f>
        <v>1011.78758766575</v>
      </c>
      <c r="M11" s="3"/>
    </row>
    <row r="12" customFormat="false" ht="15" hidden="false" customHeight="false" outlineLevel="0" collapsed="false">
      <c r="A12" s="3"/>
      <c r="B12" s="80" t="s">
        <v>114</v>
      </c>
      <c r="C12" s="119" t="s">
        <v>270</v>
      </c>
      <c r="D12" s="91" t="n">
        <f aca="false">SUM(D7:D11)</f>
        <v>47791.0279189</v>
      </c>
      <c r="E12" s="91" t="n">
        <f aca="false">SUM(E7:E11)</f>
        <v>54316.3268929</v>
      </c>
      <c r="F12" s="91" t="n">
        <f aca="false">SUM(F7:F11)</f>
        <v>62351.713689</v>
      </c>
      <c r="G12" s="91" t="n">
        <f aca="false">SUM(G7:G11)</f>
        <v>70621.660655</v>
      </c>
      <c r="H12" s="91" t="n">
        <f aca="false">SUM(H7:H11)</f>
        <v>78394.1385222376</v>
      </c>
      <c r="I12" s="91" t="n">
        <f aca="false">SUM(I7:I11)</f>
        <v>85194.4572467988</v>
      </c>
      <c r="J12" s="91" t="n">
        <f aca="false">SUM(J7:J11)</f>
        <v>92950.1990217927</v>
      </c>
      <c r="K12" s="91" t="n">
        <f aca="false">SUM(K7:K11)</f>
        <v>99586.5197424249</v>
      </c>
      <c r="L12" s="91" t="n">
        <f aca="false">SUM(L7:L11)</f>
        <v>106444.141858494</v>
      </c>
      <c r="M12" s="3"/>
    </row>
    <row r="13" customFormat="false" ht="15" hidden="false" customHeight="false" outlineLevel="0" collapsed="false">
      <c r="A13" s="3"/>
      <c r="B13" s="3"/>
      <c r="C13" s="3"/>
      <c r="D13" s="3"/>
      <c r="E13" s="3"/>
      <c r="F13" s="3"/>
      <c r="G13" s="3"/>
      <c r="H13" s="3"/>
      <c r="I13" s="3"/>
      <c r="J13" s="3"/>
      <c r="K13" s="3"/>
      <c r="L13" s="3"/>
      <c r="M13" s="3"/>
    </row>
    <row r="14" customFormat="false" ht="21.75" hidden="false" customHeight="true" outlineLevel="0" collapsed="false">
      <c r="A14" s="3"/>
      <c r="B14" s="20" t="s">
        <v>275</v>
      </c>
      <c r="C14" s="15"/>
      <c r="D14" s="15"/>
      <c r="E14" s="15"/>
      <c r="F14" s="15"/>
      <c r="G14" s="15"/>
      <c r="H14" s="15"/>
      <c r="I14" s="15"/>
      <c r="J14" s="15"/>
      <c r="K14" s="15"/>
      <c r="L14" s="15"/>
      <c r="M14" s="3"/>
    </row>
    <row r="15" customFormat="false" ht="15" hidden="false" customHeight="false" outlineLevel="0" collapsed="false">
      <c r="A15" s="3"/>
      <c r="B15" s="38" t="s">
        <v>276</v>
      </c>
      <c r="C15" s="119" t="s">
        <v>270</v>
      </c>
      <c r="D15" s="99" t="n">
        <f aca="false">-'Income Statement'!D6*Assumptions!D29</f>
        <v>-11584.5928</v>
      </c>
      <c r="E15" s="99" t="n">
        <f aca="false">-'Income Statement'!E6*Assumptions!E29</f>
        <v>-12400.06599</v>
      </c>
      <c r="F15" s="99" t="n">
        <f aca="false">-'Income Statement'!F6*Assumptions!F29</f>
        <v>-12743.0257</v>
      </c>
      <c r="G15" s="99" t="n">
        <f aca="false">-'Income Statement'!G6*Assumptions!G29</f>
        <v>-13496.0112</v>
      </c>
      <c r="H15" s="99" t="n">
        <f aca="false">-'Income Statement'!H6*Assumptions!H29</f>
        <v>-14332.222829736</v>
      </c>
      <c r="I15" s="99" t="n">
        <f aca="false">-'Income Statement'!I6*Assumptions!I29</f>
        <v>-14752.9808706132</v>
      </c>
      <c r="J15" s="99" t="n">
        <f aca="false">-'Income Statement'!J6*Assumptions!J29</f>
        <v>-15570.8836170323</v>
      </c>
      <c r="K15" s="99" t="n">
        <f aca="false">-'Income Statement'!K6*Assumptions!K29</f>
        <v>-15918.2011913992</v>
      </c>
      <c r="L15" s="99" t="n">
        <f aca="false">-'Income Statement'!L6*Assumptions!L29</f>
        <v>-16700.779943786</v>
      </c>
      <c r="M15" s="3"/>
    </row>
    <row r="16" customFormat="false" ht="15" hidden="false" customHeight="false" outlineLevel="0" collapsed="false">
      <c r="A16" s="3"/>
      <c r="B16" s="80" t="s">
        <v>277</v>
      </c>
      <c r="C16" s="119" t="s">
        <v>270</v>
      </c>
      <c r="D16" s="91" t="n">
        <f aca="false">D15</f>
        <v>-11584.5928</v>
      </c>
      <c r="E16" s="91" t="n">
        <f aca="false">E15</f>
        <v>-12400.06599</v>
      </c>
      <c r="F16" s="91" t="n">
        <f aca="false">F15</f>
        <v>-12743.0257</v>
      </c>
      <c r="G16" s="91" t="n">
        <f aca="false">G15</f>
        <v>-13496.0112</v>
      </c>
      <c r="H16" s="91" t="n">
        <f aca="false">H15</f>
        <v>-14332.222829736</v>
      </c>
      <c r="I16" s="91" t="n">
        <f aca="false">I15</f>
        <v>-14752.9808706132</v>
      </c>
      <c r="J16" s="91" t="n">
        <f aca="false">J15</f>
        <v>-15570.8836170323</v>
      </c>
      <c r="K16" s="91" t="n">
        <f aca="false">K15</f>
        <v>-15918.2011913992</v>
      </c>
      <c r="L16" s="91" t="n">
        <f aca="false">L15</f>
        <v>-16700.779943786</v>
      </c>
      <c r="M16" s="3"/>
    </row>
    <row r="17" customFormat="false" ht="15" hidden="false" customHeight="false" outlineLevel="0" collapsed="false">
      <c r="A17" s="3"/>
      <c r="B17" s="3"/>
      <c r="C17" s="3"/>
      <c r="D17" s="3"/>
      <c r="E17" s="3"/>
      <c r="F17" s="3"/>
      <c r="G17" s="3"/>
      <c r="H17" s="3"/>
      <c r="I17" s="3"/>
      <c r="J17" s="3"/>
      <c r="K17" s="3"/>
      <c r="L17" s="3"/>
      <c r="M17" s="3"/>
    </row>
    <row r="18" customFormat="false" ht="21.75" hidden="false" customHeight="true" outlineLevel="0" collapsed="false">
      <c r="A18" s="3"/>
      <c r="B18" s="20" t="s">
        <v>278</v>
      </c>
      <c r="C18" s="15"/>
      <c r="D18" s="15"/>
      <c r="E18" s="15"/>
      <c r="F18" s="15"/>
      <c r="G18" s="15"/>
      <c r="H18" s="15"/>
      <c r="I18" s="15"/>
      <c r="J18" s="15"/>
      <c r="K18" s="15"/>
      <c r="L18" s="15"/>
      <c r="M18" s="3"/>
    </row>
    <row r="19" customFormat="false" ht="15" hidden="false" customHeight="false" outlineLevel="0" collapsed="false">
      <c r="A19" s="3"/>
      <c r="B19" s="38" t="s">
        <v>279</v>
      </c>
      <c r="C19" s="119" t="s">
        <v>270</v>
      </c>
      <c r="D19" s="102" t="n">
        <f aca="false">'Debt Schedule'!D8+'Debt Schedule'!D9</f>
        <v>0</v>
      </c>
      <c r="E19" s="102" t="n">
        <f aca="false">'Debt Schedule'!E8+'Debt Schedule'!E9</f>
        <v>0</v>
      </c>
      <c r="F19" s="102" t="n">
        <f aca="false">'Debt Schedule'!F8+'Debt Schedule'!F9</f>
        <v>0</v>
      </c>
      <c r="G19" s="102" t="n">
        <f aca="false">'Debt Schedule'!G8+'Debt Schedule'!G9</f>
        <v>0</v>
      </c>
      <c r="H19" s="102" t="n">
        <f aca="false">'Debt Schedule'!H8+'Debt Schedule'!H9</f>
        <v>0</v>
      </c>
      <c r="I19" s="102" t="n">
        <f aca="false">'Debt Schedule'!I8+'Debt Schedule'!I9</f>
        <v>-5000</v>
      </c>
      <c r="J19" s="102" t="n">
        <f aca="false">'Debt Schedule'!J8+'Debt Schedule'!J9</f>
        <v>-5000</v>
      </c>
      <c r="K19" s="102" t="n">
        <f aca="false">'Debt Schedule'!K8+'Debt Schedule'!K9</f>
        <v>-5000</v>
      </c>
      <c r="L19" s="102" t="n">
        <f aca="false">'Debt Schedule'!L8+'Debt Schedule'!L9</f>
        <v>-5000</v>
      </c>
      <c r="M19" s="3"/>
    </row>
    <row r="20" customFormat="false" ht="15" hidden="false" customHeight="false" outlineLevel="0" collapsed="false">
      <c r="A20" s="3"/>
      <c r="B20" s="80" t="s">
        <v>280</v>
      </c>
      <c r="C20" s="119" t="s">
        <v>270</v>
      </c>
      <c r="D20" s="91" t="n">
        <f aca="false">D19</f>
        <v>0</v>
      </c>
      <c r="E20" s="91" t="n">
        <f aca="false">E19</f>
        <v>0</v>
      </c>
      <c r="F20" s="91" t="n">
        <f aca="false">F19</f>
        <v>0</v>
      </c>
      <c r="G20" s="91" t="n">
        <f aca="false">G19</f>
        <v>0</v>
      </c>
      <c r="H20" s="91" t="n">
        <f aca="false">H19</f>
        <v>0</v>
      </c>
      <c r="I20" s="91" t="n">
        <f aca="false">I19</f>
        <v>-5000</v>
      </c>
      <c r="J20" s="91" t="n">
        <f aca="false">J19</f>
        <v>-5000</v>
      </c>
      <c r="K20" s="91" t="n">
        <f aca="false">K19</f>
        <v>-5000</v>
      </c>
      <c r="L20" s="91" t="n">
        <f aca="false">L19</f>
        <v>-5000</v>
      </c>
      <c r="M20" s="3"/>
    </row>
    <row r="21" customFormat="false" ht="15" hidden="false" customHeight="false" outlineLevel="0" collapsed="false">
      <c r="A21" s="3"/>
      <c r="B21" s="3"/>
      <c r="C21" s="3"/>
      <c r="D21" s="3"/>
      <c r="E21" s="3"/>
      <c r="F21" s="3"/>
      <c r="G21" s="3"/>
      <c r="H21" s="3"/>
      <c r="I21" s="3"/>
      <c r="J21" s="3"/>
      <c r="K21" s="3"/>
      <c r="L21" s="3"/>
      <c r="M21" s="3"/>
    </row>
    <row r="22" customFormat="false" ht="21.75" hidden="false" customHeight="true" outlineLevel="0" collapsed="false">
      <c r="A22" s="3"/>
      <c r="B22" s="20" t="s">
        <v>281</v>
      </c>
      <c r="C22" s="15"/>
      <c r="D22" s="15"/>
      <c r="E22" s="15"/>
      <c r="F22" s="15"/>
      <c r="G22" s="15"/>
      <c r="H22" s="15"/>
      <c r="I22" s="15"/>
      <c r="J22" s="15"/>
      <c r="K22" s="15"/>
      <c r="L22" s="15"/>
      <c r="M22" s="3"/>
    </row>
    <row r="23" customFormat="false" ht="15" hidden="false" customHeight="false" outlineLevel="0" collapsed="false">
      <c r="A23" s="3"/>
      <c r="B23" s="38" t="s">
        <v>282</v>
      </c>
      <c r="C23" s="119" t="s">
        <v>270</v>
      </c>
      <c r="D23" s="120" t="n">
        <f aca="false">D12+D16+D20</f>
        <v>36206.4351189</v>
      </c>
      <c r="E23" s="120" t="n">
        <f aca="false">E12+E16+E20</f>
        <v>41916.2609029</v>
      </c>
      <c r="F23" s="120" t="n">
        <f aca="false">F12+F16+F20</f>
        <v>49608.687989</v>
      </c>
      <c r="G23" s="120" t="n">
        <f aca="false">G12+G16+G20</f>
        <v>57125.649455</v>
      </c>
      <c r="H23" s="120" t="n">
        <f aca="false">H12+H16+H20</f>
        <v>64061.9156925016</v>
      </c>
      <c r="I23" s="120" t="n">
        <f aca="false">I12+I16+I20</f>
        <v>65441.4763761856</v>
      </c>
      <c r="J23" s="120" t="n">
        <f aca="false">J12+J16+J20</f>
        <v>72379.3154047604</v>
      </c>
      <c r="K23" s="120" t="n">
        <f aca="false">K12+K16+K20</f>
        <v>78668.3185510257</v>
      </c>
      <c r="L23" s="120" t="n">
        <f aca="false">L12+L16+L20</f>
        <v>84743.3619147075</v>
      </c>
      <c r="M23" s="3"/>
    </row>
    <row r="24" customFormat="false" ht="15" hidden="false" customHeight="false" outlineLevel="0" collapsed="false">
      <c r="A24" s="3"/>
      <c r="B24" s="38" t="s">
        <v>283</v>
      </c>
      <c r="C24" s="119" t="s">
        <v>270</v>
      </c>
      <c r="D24" s="102" t="n">
        <f aca="false">'Balance Sheet'!C7</f>
        <v>42300</v>
      </c>
      <c r="E24" s="102" t="n">
        <f aca="false">'Balance Sheet'!D7</f>
        <v>78506.4351189</v>
      </c>
      <c r="F24" s="102" t="n">
        <f aca="false">'Balance Sheet'!E7</f>
        <v>120422.6960218</v>
      </c>
      <c r="G24" s="102" t="n">
        <f aca="false">'Balance Sheet'!F7</f>
        <v>170031.3840108</v>
      </c>
      <c r="H24" s="102" t="n">
        <f aca="false">'Balance Sheet'!G7</f>
        <v>227157.0334658</v>
      </c>
      <c r="I24" s="102" t="n">
        <f aca="false">'Balance Sheet'!H7</f>
        <v>291218.949158302</v>
      </c>
      <c r="J24" s="102" t="n">
        <f aca="false">'Balance Sheet'!I7</f>
        <v>356660.425534487</v>
      </c>
      <c r="K24" s="102" t="n">
        <f aca="false">'Balance Sheet'!J7</f>
        <v>429039.740939248</v>
      </c>
      <c r="L24" s="102" t="n">
        <f aca="false">'Balance Sheet'!K7</f>
        <v>507708.059490273</v>
      </c>
      <c r="M24" s="3"/>
    </row>
    <row r="25" customFormat="false" ht="15" hidden="false" customHeight="false" outlineLevel="0" collapsed="false">
      <c r="A25" s="3"/>
      <c r="B25" s="92" t="s">
        <v>284</v>
      </c>
      <c r="C25" s="119" t="s">
        <v>270</v>
      </c>
      <c r="D25" s="93" t="n">
        <f aca="false">D23+D24</f>
        <v>78506.4351189</v>
      </c>
      <c r="E25" s="93" t="n">
        <f aca="false">E23+E24</f>
        <v>120422.6960218</v>
      </c>
      <c r="F25" s="93" t="n">
        <f aca="false">F23+F24</f>
        <v>170031.3840108</v>
      </c>
      <c r="G25" s="93" t="n">
        <f aca="false">G23+G24</f>
        <v>227157.0334658</v>
      </c>
      <c r="H25" s="93" t="n">
        <f aca="false">H23+H24</f>
        <v>291218.949158302</v>
      </c>
      <c r="I25" s="93" t="n">
        <f aca="false">I23+I24</f>
        <v>356660.425534487</v>
      </c>
      <c r="J25" s="93" t="n">
        <f aca="false">J23+J24</f>
        <v>429039.740939248</v>
      </c>
      <c r="K25" s="93" t="n">
        <f aca="false">K23+K24</f>
        <v>507708.059490273</v>
      </c>
      <c r="L25" s="93" t="n">
        <f aca="false">L23+L24</f>
        <v>592451.421404981</v>
      </c>
      <c r="M25" s="3"/>
    </row>
    <row r="26" customFormat="false" ht="15" hidden="false" customHeight="false" outlineLevel="0" collapsed="false">
      <c r="A26" s="3"/>
      <c r="B26" s="3"/>
      <c r="C26" s="3"/>
      <c r="D26" s="3"/>
      <c r="E26" s="3"/>
      <c r="F26" s="3"/>
      <c r="G26" s="3"/>
      <c r="H26" s="3"/>
      <c r="I26" s="3"/>
      <c r="J26" s="3"/>
      <c r="K26" s="3"/>
      <c r="L26" s="3"/>
      <c r="M26" s="3"/>
    </row>
    <row r="27" customFormat="false" ht="15" hidden="false" customHeight="false" outlineLevel="0" collapsed="false">
      <c r="A27" s="3"/>
      <c r="B27" s="3"/>
      <c r="C27" s="3"/>
      <c r="D27" s="3"/>
      <c r="E27" s="3"/>
      <c r="F27" s="3"/>
      <c r="G27" s="3"/>
      <c r="H27" s="3"/>
      <c r="I27" s="3"/>
      <c r="J27" s="3"/>
      <c r="K27" s="3"/>
      <c r="L27" s="3"/>
      <c r="M27" s="3"/>
    </row>
  </sheetData>
  <mergeCells count="3">
    <mergeCell ref="B1:L1"/>
    <mergeCell ref="C3:G3"/>
    <mergeCell ref="H3:L3"/>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1E1E"/>
    <pageSetUpPr fitToPage="true"/>
  </sheetPr>
  <dimension ref="A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12" min="3" style="0" width="14"/>
  </cols>
  <sheetData>
    <row r="1" customFormat="false" ht="31.5" hidden="false" customHeight="true" outlineLevel="0" collapsed="false">
      <c r="A1" s="15"/>
      <c r="B1" s="16" t="s">
        <v>285</v>
      </c>
      <c r="C1" s="16"/>
      <c r="D1" s="16"/>
      <c r="E1" s="16"/>
      <c r="F1" s="16"/>
      <c r="G1" s="16"/>
      <c r="H1" s="16"/>
      <c r="I1" s="16"/>
      <c r="J1" s="16"/>
      <c r="K1" s="16"/>
      <c r="L1" s="16"/>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
      <c r="C3" s="66" t="s">
        <v>160</v>
      </c>
      <c r="D3" s="66"/>
      <c r="E3" s="66"/>
      <c r="F3" s="66"/>
      <c r="G3" s="66"/>
      <c r="H3" s="67" t="s">
        <v>161</v>
      </c>
      <c r="I3" s="67"/>
      <c r="J3" s="67"/>
      <c r="K3" s="67"/>
      <c r="L3" s="67"/>
      <c r="M3" s="3"/>
    </row>
    <row r="4" customFormat="false" ht="15" hidden="false" customHeight="false" outlineLevel="0" collapsed="false">
      <c r="A4" s="3"/>
      <c r="B4" s="54" t="s">
        <v>162</v>
      </c>
      <c r="C4" s="68" t="n">
        <v>2021</v>
      </c>
      <c r="D4" s="68" t="n">
        <v>2022</v>
      </c>
      <c r="E4" s="68" t="n">
        <v>2023</v>
      </c>
      <c r="F4" s="68" t="n">
        <v>2024</v>
      </c>
      <c r="G4" s="68" t="n">
        <v>2025</v>
      </c>
      <c r="H4" s="69" t="n">
        <v>2026</v>
      </c>
      <c r="I4" s="69" t="n">
        <v>2027</v>
      </c>
      <c r="J4" s="69" t="n">
        <v>2028</v>
      </c>
      <c r="K4" s="69" t="n">
        <v>2029</v>
      </c>
      <c r="L4" s="69" t="n">
        <v>2030</v>
      </c>
      <c r="M4" s="3"/>
    </row>
    <row r="5" customFormat="false" ht="15" hidden="false" customHeight="false" outlineLevel="0" collapsed="false">
      <c r="A5" s="3"/>
      <c r="B5" s="30" t="s">
        <v>95</v>
      </c>
      <c r="C5" s="3"/>
      <c r="D5" s="3"/>
      <c r="E5" s="3"/>
      <c r="F5" s="3"/>
      <c r="G5" s="3"/>
      <c r="H5" s="3"/>
      <c r="I5" s="3"/>
      <c r="J5" s="3"/>
      <c r="K5" s="3"/>
      <c r="L5" s="3"/>
      <c r="M5" s="3"/>
    </row>
    <row r="6" customFormat="false" ht="21.75" hidden="false" customHeight="true" outlineLevel="0" collapsed="false">
      <c r="A6" s="3"/>
      <c r="B6" s="20" t="s">
        <v>286</v>
      </c>
      <c r="C6" s="15"/>
      <c r="D6" s="15"/>
      <c r="E6" s="15"/>
      <c r="F6" s="15"/>
      <c r="G6" s="15"/>
      <c r="H6" s="15"/>
      <c r="I6" s="15"/>
      <c r="J6" s="15"/>
      <c r="K6" s="15"/>
      <c r="L6" s="15"/>
      <c r="M6" s="3"/>
    </row>
    <row r="7" customFormat="false" ht="15" hidden="false" customHeight="false" outlineLevel="0" collapsed="false">
      <c r="A7" s="3"/>
      <c r="B7" s="38" t="s">
        <v>222</v>
      </c>
      <c r="C7" s="3"/>
      <c r="D7" s="3"/>
      <c r="E7" s="3"/>
      <c r="F7" s="3"/>
      <c r="G7" s="3"/>
      <c r="H7" s="102" t="n">
        <f aca="false">'Income Statement'!H16</f>
        <v>91566.97918998</v>
      </c>
      <c r="I7" s="102" t="n">
        <f aca="false">'Income Statement'!I16</f>
        <v>99898.7561810091</v>
      </c>
      <c r="J7" s="102" t="n">
        <f aca="false">'Income Statement'!J16</f>
        <v>108106.42054111</v>
      </c>
      <c r="K7" s="102" t="n">
        <f aca="false">'Income Statement'!K16</f>
        <v>116109.232219618</v>
      </c>
      <c r="L7" s="102" t="n">
        <f aca="false">'Income Statement'!L16</f>
        <v>123782.251348061</v>
      </c>
      <c r="M7" s="3"/>
    </row>
    <row r="8" customFormat="false" ht="15" hidden="false" customHeight="false" outlineLevel="0" collapsed="false">
      <c r="A8" s="3"/>
      <c r="B8" s="38" t="s">
        <v>287</v>
      </c>
      <c r="C8" s="3"/>
      <c r="D8" s="3"/>
      <c r="E8" s="3"/>
      <c r="F8" s="3"/>
      <c r="G8" s="3"/>
      <c r="H8" s="99" t="n">
        <f aca="false">-H7*Assumptions!H28</f>
        <v>-22433.9099015451</v>
      </c>
      <c r="I8" s="99" t="n">
        <f aca="false">-I7*Assumptions!I28</f>
        <v>-24475.1952643472</v>
      </c>
      <c r="J8" s="99" t="n">
        <f aca="false">-J7*Assumptions!J28</f>
        <v>-25945.5409298663</v>
      </c>
      <c r="K8" s="99" t="n">
        <f aca="false">-K7*Assumptions!K28</f>
        <v>-27866.2157327082</v>
      </c>
      <c r="L8" s="99" t="n">
        <f aca="false">-L7*Assumptions!L28</f>
        <v>-29707.7403235346</v>
      </c>
      <c r="M8" s="3"/>
    </row>
    <row r="9" customFormat="false" ht="15" hidden="false" customHeight="false" outlineLevel="0" collapsed="false">
      <c r="A9" s="3"/>
      <c r="B9" s="80" t="s">
        <v>288</v>
      </c>
      <c r="C9" s="3"/>
      <c r="D9" s="3"/>
      <c r="E9" s="3"/>
      <c r="F9" s="3"/>
      <c r="G9" s="3"/>
      <c r="H9" s="91" t="n">
        <f aca="false">H7+H8</f>
        <v>69133.0692884349</v>
      </c>
      <c r="I9" s="91" t="n">
        <f aca="false">I7+I8</f>
        <v>75423.5609166618</v>
      </c>
      <c r="J9" s="91" t="n">
        <f aca="false">J7+J8</f>
        <v>82160.8796112433</v>
      </c>
      <c r="K9" s="91" t="n">
        <f aca="false">K7+K8</f>
        <v>88243.0164869094</v>
      </c>
      <c r="L9" s="91" t="n">
        <f aca="false">L7+L8</f>
        <v>94074.5110245263</v>
      </c>
      <c r="M9" s="3"/>
    </row>
    <row r="10" customFormat="false" ht="15" hidden="false" customHeight="false" outlineLevel="0" collapsed="false">
      <c r="A10" s="3"/>
      <c r="B10" s="38" t="s">
        <v>289</v>
      </c>
      <c r="C10" s="3"/>
      <c r="D10" s="3"/>
      <c r="E10" s="3"/>
      <c r="F10" s="3"/>
      <c r="G10" s="3"/>
      <c r="H10" s="99" t="n">
        <f aca="false">-'Income Statement'!H15</f>
        <v>14332.222829736</v>
      </c>
      <c r="I10" s="99" t="n">
        <f aca="false">-'Income Statement'!I15</f>
        <v>14752.9808706132</v>
      </c>
      <c r="J10" s="99" t="n">
        <f aca="false">-'Income Statement'!J15</f>
        <v>15570.8836170323</v>
      </c>
      <c r="K10" s="99" t="n">
        <f aca="false">-'Income Statement'!K15</f>
        <v>15918.2011913992</v>
      </c>
      <c r="L10" s="99" t="n">
        <f aca="false">-'Income Statement'!L15</f>
        <v>16700.779943786</v>
      </c>
      <c r="M10" s="3"/>
    </row>
    <row r="11" customFormat="false" ht="15" hidden="false" customHeight="false" outlineLevel="0" collapsed="false">
      <c r="A11" s="3"/>
      <c r="B11" s="38" t="s">
        <v>290</v>
      </c>
      <c r="C11" s="3"/>
      <c r="D11" s="3"/>
      <c r="E11" s="3"/>
      <c r="F11" s="3"/>
      <c r="G11" s="3"/>
      <c r="H11" s="99" t="n">
        <f aca="false">-'Income Statement'!H6*Assumptions!H29</f>
        <v>-14332.222829736</v>
      </c>
      <c r="I11" s="99" t="n">
        <f aca="false">-'Income Statement'!I6*Assumptions!I29</f>
        <v>-14752.9808706132</v>
      </c>
      <c r="J11" s="99" t="n">
        <f aca="false">-'Income Statement'!J6*Assumptions!J29</f>
        <v>-15570.8836170323</v>
      </c>
      <c r="K11" s="99" t="n">
        <f aca="false">-'Income Statement'!K6*Assumptions!K29</f>
        <v>-15918.2011913992</v>
      </c>
      <c r="L11" s="99" t="n">
        <f aca="false">-'Income Statement'!L6*Assumptions!L29</f>
        <v>-16700.779943786</v>
      </c>
      <c r="M11" s="3"/>
    </row>
    <row r="12" customFormat="false" ht="15" hidden="false" customHeight="false" outlineLevel="0" collapsed="false">
      <c r="A12" s="3"/>
      <c r="B12" s="38" t="s">
        <v>291</v>
      </c>
      <c r="C12" s="3"/>
      <c r="D12" s="3"/>
      <c r="E12" s="3"/>
      <c r="F12" s="3"/>
      <c r="G12" s="3"/>
      <c r="H12" s="102" t="n">
        <f aca="false">'Cash Flow'!H9+'Cash Flow'!H10+'Cash Flow'!H11</f>
        <v>-2579.65359593325</v>
      </c>
      <c r="I12" s="102" t="n">
        <f aca="false">'Cash Flow'!I9+'Cash Flow'!I10+'Cash Flow'!I11</f>
        <v>-2594.3970404762</v>
      </c>
      <c r="J12" s="102" t="n">
        <f aca="false">'Cash Flow'!J9+'Cash Flow'!J10+'Cash Flow'!J11</f>
        <v>-2587.06420648291</v>
      </c>
      <c r="K12" s="102" t="n">
        <f aca="false">'Cash Flow'!K9+'Cash Flow'!K10+'Cash Flow'!K11</f>
        <v>-2589.19793588375</v>
      </c>
      <c r="L12" s="102" t="n">
        <f aca="false">'Cash Flow'!L9+'Cash Flow'!L10+'Cash Flow'!L11</f>
        <v>-2554.64910981881</v>
      </c>
      <c r="M12" s="3"/>
    </row>
    <row r="13" customFormat="false" ht="15" hidden="false" customHeight="false" outlineLevel="0" collapsed="false">
      <c r="A13" s="3"/>
      <c r="B13" s="121" t="s">
        <v>116</v>
      </c>
      <c r="C13" s="3"/>
      <c r="D13" s="3"/>
      <c r="E13" s="3"/>
      <c r="F13" s="3"/>
      <c r="G13" s="3"/>
      <c r="H13" s="122" t="n">
        <f aca="false">H9+H10+H11+H12</f>
        <v>66553.4156925016</v>
      </c>
      <c r="I13" s="122" t="n">
        <f aca="false">I9+I10+I11+I12</f>
        <v>72829.1638761856</v>
      </c>
      <c r="J13" s="122" t="n">
        <f aca="false">J9+J10+J11+J12</f>
        <v>79573.8154047604</v>
      </c>
      <c r="K13" s="122" t="n">
        <f aca="false">K9+K10+K11+K12</f>
        <v>85653.8185510256</v>
      </c>
      <c r="L13" s="122" t="n">
        <f aca="false">L9+L10+L11+L12</f>
        <v>91519.8619147075</v>
      </c>
      <c r="M13" s="3"/>
    </row>
    <row r="14" customFormat="false" ht="15" hidden="false" customHeight="false" outlineLevel="0" collapsed="false">
      <c r="A14" s="3"/>
      <c r="B14" s="100" t="s">
        <v>292</v>
      </c>
      <c r="C14" s="3"/>
      <c r="D14" s="3"/>
      <c r="E14" s="3"/>
      <c r="F14" s="3"/>
      <c r="G14" s="3"/>
      <c r="H14" s="123" t="n">
        <v>1</v>
      </c>
      <c r="I14" s="123" t="n">
        <v>2</v>
      </c>
      <c r="J14" s="123" t="n">
        <v>3</v>
      </c>
      <c r="K14" s="123" t="n">
        <v>4</v>
      </c>
      <c r="L14" s="123" t="n">
        <v>5</v>
      </c>
      <c r="M14" s="3"/>
    </row>
    <row r="15" customFormat="false" ht="15" hidden="false" customHeight="false" outlineLevel="0" collapsed="false">
      <c r="A15" s="3"/>
      <c r="B15" s="100" t="s">
        <v>293</v>
      </c>
      <c r="C15" s="3"/>
      <c r="D15" s="3"/>
      <c r="E15" s="3"/>
      <c r="F15" s="3"/>
      <c r="G15" s="3"/>
      <c r="H15" s="124" t="n">
        <f aca="false">1/(1+Assumptions!$C$40)^H14</f>
        <v>0.909475218874489</v>
      </c>
      <c r="I15" s="124" t="n">
        <f aca="false">1/(1+Assumptions!$C$40)^I14</f>
        <v>0.8271451737468</v>
      </c>
      <c r="J15" s="124" t="n">
        <f aca="false">1/(1+Assumptions!$C$40)^J14</f>
        <v>0.752268037934349</v>
      </c>
      <c r="K15" s="124" t="n">
        <f aca="false">1/(1+Assumptions!$C$40)^K14</f>
        <v>0.684169138452624</v>
      </c>
      <c r="L15" s="124" t="n">
        <f aca="false">1/(1+Assumptions!$C$40)^L14</f>
        <v>0.622234876941371</v>
      </c>
      <c r="M15" s="3"/>
    </row>
    <row r="16" customFormat="false" ht="15" hidden="false" customHeight="false" outlineLevel="0" collapsed="false">
      <c r="A16" s="3"/>
      <c r="B16" s="38" t="s">
        <v>294</v>
      </c>
      <c r="C16" s="3"/>
      <c r="D16" s="3"/>
      <c r="E16" s="3"/>
      <c r="F16" s="3"/>
      <c r="G16" s="3"/>
      <c r="H16" s="99" t="n">
        <f aca="false">H13*H15</f>
        <v>60528.6823037828</v>
      </c>
      <c r="I16" s="99" t="n">
        <f aca="false">I13*I15</f>
        <v>60240.2914082018</v>
      </c>
      <c r="J16" s="99" t="n">
        <f aca="false">J13*J15</f>
        <v>59860.8379854892</v>
      </c>
      <c r="K16" s="99" t="n">
        <f aca="false">K13*K15</f>
        <v>58601.6992432326</v>
      </c>
      <c r="L16" s="99" t="n">
        <f aca="false">L13*L15</f>
        <v>56946.8500161893</v>
      </c>
      <c r="M16" s="3"/>
    </row>
    <row r="17" customFormat="false" ht="15" hidden="false" customHeight="false" outlineLevel="0" collapsed="false">
      <c r="A17" s="3"/>
      <c r="B17" s="3"/>
      <c r="C17" s="3"/>
      <c r="D17" s="3"/>
      <c r="E17" s="3"/>
      <c r="F17" s="3"/>
      <c r="G17" s="3"/>
      <c r="H17" s="3"/>
      <c r="I17" s="3"/>
      <c r="J17" s="3"/>
      <c r="K17" s="3"/>
      <c r="L17" s="3"/>
      <c r="M17" s="3"/>
    </row>
    <row r="18" customFormat="false" ht="21.75" hidden="false" customHeight="true" outlineLevel="0" collapsed="false">
      <c r="A18" s="3"/>
      <c r="B18" s="20" t="s">
        <v>295</v>
      </c>
      <c r="C18" s="15"/>
      <c r="D18" s="15"/>
      <c r="E18" s="15"/>
      <c r="F18" s="15"/>
      <c r="G18" s="15"/>
      <c r="H18" s="15"/>
      <c r="I18" s="15"/>
      <c r="J18" s="15"/>
      <c r="K18" s="15"/>
      <c r="L18" s="15"/>
      <c r="M18" s="3"/>
    </row>
    <row r="19" customFormat="false" ht="15" hidden="false" customHeight="false" outlineLevel="0" collapsed="false">
      <c r="A19" s="3"/>
      <c r="B19" s="38" t="s">
        <v>296</v>
      </c>
      <c r="C19" s="99" t="n">
        <f aca="false">SUM(H16:L16)</f>
        <v>296178.360956896</v>
      </c>
      <c r="D19" s="3"/>
      <c r="E19" s="3"/>
      <c r="F19" s="3"/>
      <c r="G19" s="3"/>
      <c r="H19" s="3"/>
      <c r="I19" s="3"/>
      <c r="J19" s="3"/>
      <c r="K19" s="3"/>
      <c r="L19" s="3"/>
      <c r="M19" s="3"/>
    </row>
    <row r="20" customFormat="false" ht="15" hidden="false" customHeight="false" outlineLevel="0" collapsed="false">
      <c r="A20" s="3"/>
      <c r="B20" s="38" t="s">
        <v>297</v>
      </c>
      <c r="C20" s="99" t="n">
        <f aca="false">L13*(1+Assumptions!$C$41)/(Assumptions!$C$40-Assumptions!$C$41)</f>
        <v>1223291.25911327</v>
      </c>
      <c r="D20" s="3"/>
      <c r="E20" s="3"/>
      <c r="F20" s="3"/>
      <c r="G20" s="3"/>
      <c r="H20" s="3"/>
      <c r="I20" s="3"/>
      <c r="J20" s="3"/>
      <c r="K20" s="3"/>
      <c r="L20" s="3"/>
      <c r="M20" s="3"/>
    </row>
    <row r="21" customFormat="false" ht="15" hidden="false" customHeight="false" outlineLevel="0" collapsed="false">
      <c r="A21" s="3"/>
      <c r="B21" s="38" t="s">
        <v>298</v>
      </c>
      <c r="C21" s="99" t="n">
        <f aca="false">C20*L15</f>
        <v>761174.486077798</v>
      </c>
      <c r="D21" s="3"/>
      <c r="E21" s="3"/>
      <c r="F21" s="3"/>
      <c r="G21" s="3"/>
      <c r="H21" s="3"/>
      <c r="I21" s="3"/>
      <c r="J21" s="3"/>
      <c r="K21" s="3"/>
      <c r="L21" s="3"/>
      <c r="M21" s="3"/>
    </row>
    <row r="22" customFormat="false" ht="15" hidden="false" customHeight="false" outlineLevel="0" collapsed="false">
      <c r="A22" s="3"/>
      <c r="B22" s="92" t="s">
        <v>299</v>
      </c>
      <c r="C22" s="93" t="n">
        <f aca="false">C19+C21</f>
        <v>1057352.84703469</v>
      </c>
      <c r="D22" s="3"/>
      <c r="E22" s="3"/>
      <c r="F22" s="3"/>
      <c r="G22" s="3"/>
      <c r="H22" s="3"/>
      <c r="I22" s="3"/>
      <c r="J22" s="3"/>
      <c r="K22" s="3"/>
      <c r="L22" s="3"/>
      <c r="M22" s="3"/>
    </row>
    <row r="23" customFormat="false" ht="15" hidden="false" customHeight="false" outlineLevel="0" collapsed="false">
      <c r="A23" s="3"/>
      <c r="B23" s="100" t="s">
        <v>300</v>
      </c>
      <c r="C23" s="95" t="n">
        <f aca="false">C21/C22</f>
        <v>0.719886921582028</v>
      </c>
      <c r="D23" s="3"/>
      <c r="E23" s="3"/>
      <c r="F23" s="3"/>
      <c r="G23" s="3"/>
      <c r="H23" s="3"/>
      <c r="I23" s="3"/>
      <c r="J23" s="3"/>
      <c r="K23" s="3"/>
      <c r="L23" s="3"/>
      <c r="M23" s="3"/>
    </row>
    <row r="24" customFormat="false" ht="15" hidden="false" customHeight="false" outlineLevel="0" collapsed="false">
      <c r="A24" s="3"/>
      <c r="B24" s="3"/>
      <c r="C24" s="3"/>
      <c r="D24" s="3"/>
      <c r="E24" s="3"/>
      <c r="F24" s="3"/>
      <c r="G24" s="3"/>
      <c r="H24" s="3"/>
      <c r="I24" s="3"/>
      <c r="J24" s="3"/>
      <c r="K24" s="3"/>
      <c r="L24" s="3"/>
      <c r="M24" s="3"/>
    </row>
    <row r="25" customFormat="false" ht="15" hidden="false" customHeight="false" outlineLevel="0" collapsed="false">
      <c r="A25" s="3"/>
      <c r="B25" s="38" t="s">
        <v>301</v>
      </c>
      <c r="C25" s="102" t="n">
        <f aca="false">'Debt Schedule'!G10-'Balance Sheet'!G7</f>
        <v>-167157.0334658</v>
      </c>
      <c r="D25" s="3"/>
      <c r="E25" s="3"/>
      <c r="F25" s="3"/>
      <c r="G25" s="3"/>
      <c r="H25" s="3"/>
      <c r="I25" s="3"/>
      <c r="J25" s="3"/>
      <c r="K25" s="3"/>
      <c r="L25" s="3"/>
      <c r="M25" s="3"/>
    </row>
    <row r="26" customFormat="false" ht="15" hidden="false" customHeight="false" outlineLevel="0" collapsed="false">
      <c r="A26" s="3"/>
      <c r="B26" s="92" t="s">
        <v>302</v>
      </c>
      <c r="C26" s="93" t="n">
        <f aca="false">C22-C25</f>
        <v>1224509.88050049</v>
      </c>
      <c r="D26" s="3"/>
      <c r="E26" s="3"/>
      <c r="F26" s="3"/>
      <c r="G26" s="3"/>
      <c r="H26" s="3"/>
      <c r="I26" s="3"/>
      <c r="J26" s="3"/>
      <c r="K26" s="3"/>
      <c r="L26" s="3"/>
      <c r="M26" s="3"/>
    </row>
    <row r="27" customFormat="false" ht="15" hidden="false" customHeight="false" outlineLevel="0" collapsed="false">
      <c r="A27" s="3"/>
      <c r="B27" s="38" t="s">
        <v>196</v>
      </c>
      <c r="C27" s="103" t="n">
        <f aca="false">Assumptions!$C$42</f>
        <v>48.5</v>
      </c>
      <c r="D27" s="3"/>
      <c r="E27" s="3"/>
      <c r="F27" s="3"/>
      <c r="G27" s="3"/>
      <c r="H27" s="3"/>
      <c r="I27" s="3"/>
      <c r="J27" s="3"/>
      <c r="K27" s="3"/>
      <c r="L27" s="3"/>
      <c r="M27" s="3"/>
    </row>
    <row r="28" customFormat="false" ht="16.15" hidden="false" customHeight="false" outlineLevel="0" collapsed="false">
      <c r="A28" s="3"/>
      <c r="B28" s="125" t="s">
        <v>303</v>
      </c>
      <c r="C28" s="126" t="n">
        <f aca="false">C26/(C27*1000)</f>
        <v>25.247626402072</v>
      </c>
      <c r="D28" s="3"/>
      <c r="E28" s="3"/>
      <c r="F28" s="3"/>
      <c r="G28" s="3"/>
      <c r="H28" s="3"/>
      <c r="I28" s="3"/>
      <c r="J28" s="3"/>
      <c r="K28" s="3"/>
      <c r="L28" s="3"/>
      <c r="M28" s="3"/>
    </row>
    <row r="29" customFormat="false" ht="15" hidden="false" customHeight="false" outlineLevel="0" collapsed="false">
      <c r="A29" s="3"/>
      <c r="B29" s="3"/>
      <c r="C29" s="3"/>
      <c r="D29" s="3"/>
      <c r="E29" s="3"/>
      <c r="F29" s="3"/>
      <c r="G29" s="3"/>
      <c r="H29" s="3"/>
      <c r="I29" s="3"/>
      <c r="J29" s="3"/>
      <c r="K29" s="3"/>
      <c r="L29" s="3"/>
      <c r="M29" s="3"/>
    </row>
    <row r="30" customFormat="false" ht="15" hidden="false" customHeight="false" outlineLevel="0" collapsed="false">
      <c r="A30" s="3"/>
      <c r="B30" s="3"/>
      <c r="C30" s="3"/>
      <c r="D30" s="3"/>
      <c r="E30" s="3"/>
      <c r="F30" s="3"/>
      <c r="G30" s="3"/>
      <c r="H30" s="3"/>
      <c r="I30" s="3"/>
      <c r="J30" s="3"/>
      <c r="K30" s="3"/>
      <c r="L30" s="3"/>
      <c r="M30" s="3"/>
    </row>
  </sheetData>
  <mergeCells count="3">
    <mergeCell ref="B1:L1"/>
    <mergeCell ref="C3:G3"/>
    <mergeCell ref="H3:L3"/>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1E1E"/>
    <pageSetUpPr fitToPage="true"/>
  </sheetPr>
  <dimension ref="A1:M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2"/>
    <col collapsed="false" customWidth="true" hidden="false" outlineLevel="0" max="8" min="3" style="0" width="16"/>
  </cols>
  <sheetData>
    <row r="1" customFormat="false" ht="31.5" hidden="false" customHeight="true" outlineLevel="0" collapsed="false">
      <c r="A1" s="15"/>
      <c r="B1" s="16" t="s">
        <v>304</v>
      </c>
      <c r="C1" s="16"/>
      <c r="D1" s="16"/>
      <c r="E1" s="16"/>
      <c r="F1" s="16"/>
      <c r="G1" s="16"/>
      <c r="H1" s="16"/>
      <c r="I1" s="15"/>
      <c r="J1" s="15"/>
      <c r="K1" s="15"/>
      <c r="L1" s="15"/>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0" t="s">
        <v>95</v>
      </c>
      <c r="C3" s="3"/>
      <c r="D3" s="3"/>
      <c r="E3" s="3"/>
      <c r="F3" s="3"/>
      <c r="G3" s="3"/>
      <c r="H3" s="3"/>
      <c r="I3" s="3"/>
    </row>
    <row r="4" customFormat="false" ht="15" hidden="false" customHeight="false" outlineLevel="0" collapsed="false">
      <c r="A4" s="3"/>
      <c r="B4" s="3"/>
      <c r="C4" s="3"/>
      <c r="D4" s="3"/>
      <c r="E4" s="3"/>
      <c r="F4" s="3"/>
      <c r="G4" s="3"/>
      <c r="H4" s="3"/>
      <c r="I4" s="3"/>
    </row>
    <row r="5" customFormat="false" ht="15" hidden="false" customHeight="false" outlineLevel="0" collapsed="false">
      <c r="A5" s="3"/>
      <c r="B5" s="3"/>
      <c r="C5" s="3"/>
      <c r="D5" s="3"/>
      <c r="E5" s="3"/>
      <c r="F5" s="3"/>
      <c r="G5" s="3"/>
      <c r="H5" s="3"/>
      <c r="I5" s="3"/>
    </row>
    <row r="6" customFormat="false" ht="21.75" hidden="false" customHeight="true" outlineLevel="0" collapsed="false">
      <c r="A6" s="3"/>
      <c r="B6" s="20" t="s">
        <v>305</v>
      </c>
      <c r="C6" s="15"/>
      <c r="D6" s="15"/>
      <c r="E6" s="15"/>
      <c r="F6" s="15"/>
      <c r="G6" s="15"/>
      <c r="H6" s="15"/>
      <c r="I6" s="3"/>
    </row>
    <row r="7" customFormat="false" ht="15" hidden="false" customHeight="false" outlineLevel="0" collapsed="false">
      <c r="A7" s="3"/>
      <c r="B7" s="127" t="s">
        <v>306</v>
      </c>
      <c r="C7" s="128" t="s">
        <v>307</v>
      </c>
      <c r="D7" s="128" t="s">
        <v>308</v>
      </c>
      <c r="E7" s="128" t="s">
        <v>309</v>
      </c>
      <c r="F7" s="3"/>
      <c r="G7" s="3"/>
      <c r="H7" s="3"/>
      <c r="I7" s="3"/>
    </row>
    <row r="8" customFormat="false" ht="15" hidden="false" customHeight="false" outlineLevel="0" collapsed="false">
      <c r="A8" s="3"/>
      <c r="B8" s="63" t="s">
        <v>310</v>
      </c>
      <c r="C8" s="129" t="n">
        <v>11.5</v>
      </c>
      <c r="D8" s="129" t="n">
        <v>3.2</v>
      </c>
      <c r="E8" s="129" t="n">
        <v>18.5</v>
      </c>
      <c r="F8" s="3"/>
      <c r="G8" s="3"/>
      <c r="H8" s="3"/>
      <c r="I8" s="3"/>
    </row>
    <row r="9" customFormat="false" ht="15" hidden="false" customHeight="false" outlineLevel="0" collapsed="false">
      <c r="A9" s="3"/>
      <c r="B9" s="63" t="s">
        <v>311</v>
      </c>
      <c r="C9" s="129" t="n">
        <v>10.8</v>
      </c>
      <c r="D9" s="129" t="n">
        <v>2.9</v>
      </c>
      <c r="E9" s="129" t="n">
        <v>17.2</v>
      </c>
      <c r="F9" s="3"/>
      <c r="G9" s="3"/>
      <c r="H9" s="3"/>
      <c r="I9" s="3"/>
    </row>
    <row r="10" customFormat="false" ht="15" hidden="false" customHeight="false" outlineLevel="0" collapsed="false">
      <c r="A10" s="3"/>
      <c r="B10" s="63" t="s">
        <v>312</v>
      </c>
      <c r="C10" s="129" t="n">
        <v>12.2</v>
      </c>
      <c r="D10" s="129" t="n">
        <v>3.5</v>
      </c>
      <c r="E10" s="129" t="n">
        <v>19.8</v>
      </c>
      <c r="F10" s="3"/>
      <c r="G10" s="3"/>
      <c r="H10" s="3"/>
      <c r="I10" s="3"/>
    </row>
    <row r="11" customFormat="false" ht="15" hidden="false" customHeight="false" outlineLevel="0" collapsed="false">
      <c r="A11" s="3"/>
      <c r="B11" s="63" t="s">
        <v>313</v>
      </c>
      <c r="C11" s="129" t="n">
        <v>9.5</v>
      </c>
      <c r="D11" s="129" t="n">
        <v>2.4</v>
      </c>
      <c r="E11" s="129" t="n">
        <v>15.6</v>
      </c>
      <c r="F11" s="3"/>
      <c r="G11" s="3"/>
      <c r="H11" s="3"/>
      <c r="I11" s="3"/>
    </row>
    <row r="12" customFormat="false" ht="15" hidden="false" customHeight="false" outlineLevel="0" collapsed="false">
      <c r="A12" s="3"/>
      <c r="B12" s="63" t="s">
        <v>314</v>
      </c>
      <c r="C12" s="129" t="n">
        <v>13</v>
      </c>
      <c r="D12" s="129" t="n">
        <v>3.8</v>
      </c>
      <c r="E12" s="129" t="n">
        <v>20.5</v>
      </c>
      <c r="F12" s="3"/>
      <c r="G12" s="3"/>
      <c r="H12" s="3"/>
      <c r="I12" s="3"/>
    </row>
    <row r="13" customFormat="false" ht="15" hidden="false" customHeight="false" outlineLevel="0" collapsed="false">
      <c r="A13" s="3"/>
      <c r="B13" s="76" t="s">
        <v>315</v>
      </c>
      <c r="C13" s="130" t="n">
        <f aca="false">AVERAGE(C8:C12)</f>
        <v>11.4</v>
      </c>
      <c r="D13" s="130" t="n">
        <f aca="false">AVERAGE(D8:D12)</f>
        <v>3.16</v>
      </c>
      <c r="E13" s="130" t="n">
        <f aca="false">AVERAGE(E8:E12)</f>
        <v>18.32</v>
      </c>
      <c r="F13" s="3"/>
      <c r="G13" s="3"/>
      <c r="H13" s="3"/>
      <c r="I13" s="3"/>
    </row>
    <row r="14" customFormat="false" ht="15" hidden="false" customHeight="false" outlineLevel="0" collapsed="false">
      <c r="A14" s="3"/>
      <c r="B14" s="131" t="s">
        <v>316</v>
      </c>
      <c r="C14" s="132" t="n">
        <f aca="false">MEDIAN(C8:C12)</f>
        <v>11.5</v>
      </c>
      <c r="D14" s="132" t="n">
        <f aca="false">MEDIAN(D8:D12)</f>
        <v>3.2</v>
      </c>
      <c r="E14" s="132" t="n">
        <f aca="false">MEDIAN(E8:E12)</f>
        <v>18.5</v>
      </c>
      <c r="F14" s="3"/>
      <c r="G14" s="3"/>
      <c r="H14" s="3"/>
      <c r="I14" s="3"/>
    </row>
    <row r="15" customFormat="false" ht="15" hidden="false" customHeight="false" outlineLevel="0" collapsed="false">
      <c r="A15" s="3"/>
      <c r="B15" s="3"/>
      <c r="C15" s="3"/>
      <c r="D15" s="3"/>
      <c r="E15" s="3"/>
      <c r="F15" s="3"/>
      <c r="G15" s="3"/>
      <c r="H15" s="3"/>
      <c r="I15" s="3"/>
    </row>
    <row r="16" customFormat="false" ht="21.75" hidden="false" customHeight="true" outlineLevel="0" collapsed="false">
      <c r="A16" s="3"/>
      <c r="B16" s="20" t="s">
        <v>317</v>
      </c>
      <c r="C16" s="15"/>
      <c r="D16" s="15"/>
      <c r="E16" s="15"/>
      <c r="F16" s="15"/>
      <c r="G16" s="15"/>
      <c r="H16" s="15"/>
      <c r="I16" s="3"/>
    </row>
    <row r="17" customFormat="false" ht="15" hidden="false" customHeight="false" outlineLevel="0" collapsed="false">
      <c r="A17" s="3"/>
      <c r="B17" s="38" t="s">
        <v>318</v>
      </c>
      <c r="C17" s="102" t="n">
        <f aca="false">'Income Statement'!H12</f>
        <v>105899.202019716</v>
      </c>
      <c r="D17" s="3"/>
      <c r="E17" s="3"/>
      <c r="F17" s="3"/>
      <c r="G17" s="3"/>
      <c r="H17" s="3"/>
      <c r="I17" s="3"/>
    </row>
    <row r="18" customFormat="false" ht="15" hidden="false" customHeight="false" outlineLevel="0" collapsed="false">
      <c r="A18" s="3"/>
      <c r="B18" s="38" t="s">
        <v>319</v>
      </c>
      <c r="C18" s="102" t="n">
        <f aca="false">'Income Statement'!H6</f>
        <v>398117.300826</v>
      </c>
      <c r="D18" s="3"/>
      <c r="E18" s="3"/>
      <c r="F18" s="3"/>
      <c r="G18" s="3"/>
      <c r="H18" s="3"/>
      <c r="I18" s="3"/>
    </row>
    <row r="19" customFormat="false" ht="15" hidden="false" customHeight="false" outlineLevel="0" collapsed="false">
      <c r="A19" s="3"/>
      <c r="B19" s="38" t="s">
        <v>320</v>
      </c>
      <c r="C19" s="133" t="n">
        <f aca="false">'Income Statement'!H26</f>
        <v>1.37405297501928</v>
      </c>
      <c r="D19" s="3"/>
      <c r="E19" s="3"/>
      <c r="F19" s="3"/>
      <c r="G19" s="3"/>
      <c r="H19" s="3"/>
      <c r="I19" s="3"/>
    </row>
    <row r="20" customFormat="false" ht="15" hidden="false" customHeight="false" outlineLevel="0" collapsed="false">
      <c r="A20" s="3"/>
      <c r="B20" s="38" t="s">
        <v>321</v>
      </c>
      <c r="C20" s="102" t="n">
        <f aca="false">'Debt Schedule'!G10-'Balance Sheet'!G7</f>
        <v>-167157.0334658</v>
      </c>
      <c r="D20" s="3"/>
      <c r="E20" s="3"/>
      <c r="F20" s="3"/>
      <c r="G20" s="3"/>
      <c r="H20" s="3"/>
      <c r="I20" s="3"/>
    </row>
    <row r="21" customFormat="false" ht="15" hidden="false" customHeight="false" outlineLevel="0" collapsed="false">
      <c r="A21" s="3"/>
      <c r="B21" s="3"/>
      <c r="C21" s="3"/>
      <c r="D21" s="3"/>
      <c r="E21" s="3"/>
      <c r="F21" s="3"/>
      <c r="G21" s="3"/>
      <c r="H21" s="3"/>
      <c r="I21" s="3"/>
    </row>
    <row r="22" customFormat="false" ht="15" hidden="false" customHeight="false" outlineLevel="0" collapsed="false">
      <c r="A22" s="3"/>
      <c r="B22" s="127" t="s">
        <v>322</v>
      </c>
      <c r="C22" s="128" t="s">
        <v>323</v>
      </c>
      <c r="D22" s="128" t="s">
        <v>302</v>
      </c>
      <c r="E22" s="128" t="s">
        <v>101</v>
      </c>
      <c r="F22" s="3"/>
      <c r="G22" s="3"/>
      <c r="H22" s="3"/>
      <c r="I22" s="3"/>
    </row>
    <row r="23" customFormat="false" ht="15" hidden="false" customHeight="false" outlineLevel="0" collapsed="false">
      <c r="A23" s="3"/>
      <c r="B23" s="63" t="s">
        <v>324</v>
      </c>
      <c r="C23" s="99" t="n">
        <f aca="false">C14*C17</f>
        <v>1217840.82322673</v>
      </c>
      <c r="D23" s="99" t="n">
        <f aca="false">C23-C20</f>
        <v>1384997.85669253</v>
      </c>
      <c r="E23" s="104" t="n">
        <f aca="false">D23/(Assumptions!$C$42*1000)</f>
        <v>28.5566568390213</v>
      </c>
      <c r="F23" s="3"/>
      <c r="G23" s="3"/>
      <c r="H23" s="3"/>
      <c r="I23" s="3"/>
    </row>
    <row r="24" customFormat="false" ht="15" hidden="false" customHeight="false" outlineLevel="0" collapsed="false">
      <c r="A24" s="3"/>
      <c r="B24" s="63" t="s">
        <v>325</v>
      </c>
      <c r="C24" s="99" t="n">
        <f aca="false">D14*C18</f>
        <v>1273975.3626432</v>
      </c>
      <c r="D24" s="99" t="n">
        <f aca="false">C24-C20</f>
        <v>1441132.396109</v>
      </c>
      <c r="E24" s="104" t="n">
        <f aca="false">D24/(Assumptions!$C$42*1000)</f>
        <v>29.714070022866</v>
      </c>
      <c r="F24" s="3"/>
      <c r="G24" s="3"/>
      <c r="H24" s="3"/>
      <c r="I24" s="3"/>
    </row>
    <row r="25" customFormat="false" ht="15" hidden="false" customHeight="false" outlineLevel="0" collapsed="false">
      <c r="A25" s="3"/>
      <c r="B25" s="63" t="s">
        <v>326</v>
      </c>
      <c r="C25" s="134" t="s">
        <v>270</v>
      </c>
      <c r="D25" s="134" t="s">
        <v>270</v>
      </c>
      <c r="E25" s="104" t="n">
        <f aca="false">E14*C19</f>
        <v>25.4199800378566</v>
      </c>
      <c r="F25" s="3"/>
      <c r="G25" s="3"/>
      <c r="H25" s="3"/>
      <c r="I25" s="3"/>
    </row>
    <row r="26" customFormat="false" ht="15" hidden="false" customHeight="false" outlineLevel="0" collapsed="false">
      <c r="A26" s="3"/>
      <c r="B26" s="3"/>
      <c r="C26" s="3"/>
      <c r="D26" s="3"/>
      <c r="E26" s="3"/>
      <c r="F26" s="3"/>
      <c r="G26" s="3"/>
      <c r="H26" s="3"/>
      <c r="I26" s="3"/>
    </row>
    <row r="27" customFormat="false" ht="21.75" hidden="false" customHeight="true" outlineLevel="0" collapsed="false">
      <c r="A27" s="3"/>
      <c r="B27" s="20" t="s">
        <v>327</v>
      </c>
      <c r="C27" s="15"/>
      <c r="D27" s="15"/>
      <c r="E27" s="15"/>
      <c r="F27" s="15"/>
      <c r="G27" s="15"/>
      <c r="H27" s="15"/>
      <c r="I27" s="3"/>
    </row>
    <row r="28" customFormat="false" ht="15" hidden="false" customHeight="false" outlineLevel="0" collapsed="false">
      <c r="A28" s="3"/>
      <c r="B28" s="38" t="s">
        <v>328</v>
      </c>
      <c r="C28" s="135" t="n">
        <f aca="false">C14</f>
        <v>11.5</v>
      </c>
      <c r="D28" s="3"/>
      <c r="E28" s="3"/>
      <c r="F28" s="3"/>
      <c r="G28" s="3"/>
      <c r="H28" s="3"/>
      <c r="I28" s="3"/>
    </row>
    <row r="29" customFormat="false" ht="15" hidden="false" customHeight="false" outlineLevel="0" collapsed="false">
      <c r="A29" s="3"/>
      <c r="B29" s="38" t="s">
        <v>329</v>
      </c>
      <c r="C29" s="102" t="n">
        <f aca="false">'Income Statement'!L12</f>
        <v>140483.031291847</v>
      </c>
      <c r="D29" s="3"/>
      <c r="E29" s="3"/>
      <c r="F29" s="3"/>
      <c r="G29" s="3"/>
      <c r="H29" s="3"/>
      <c r="I29" s="3"/>
    </row>
    <row r="30" customFormat="false" ht="15" hidden="false" customHeight="false" outlineLevel="0" collapsed="false">
      <c r="A30" s="3"/>
      <c r="B30" s="38" t="s">
        <v>330</v>
      </c>
      <c r="C30" s="99" t="n">
        <f aca="false">C28*C29</f>
        <v>1615554.85985624</v>
      </c>
      <c r="D30" s="3"/>
      <c r="E30" s="3"/>
      <c r="F30" s="3"/>
      <c r="G30" s="3"/>
      <c r="H30" s="3"/>
      <c r="I30" s="3"/>
    </row>
    <row r="31" customFormat="false" ht="15" hidden="false" customHeight="false" outlineLevel="0" collapsed="false">
      <c r="A31" s="3"/>
      <c r="B31" s="38" t="s">
        <v>298</v>
      </c>
      <c r="C31" s="99" t="n">
        <f aca="false">C30*'DCF Valuation'!L15</f>
        <v>1005254.57941468</v>
      </c>
      <c r="D31" s="3"/>
      <c r="E31" s="3"/>
      <c r="F31" s="3"/>
      <c r="G31" s="3"/>
      <c r="H31" s="3"/>
      <c r="I31" s="3"/>
    </row>
    <row r="32" customFormat="false" ht="15" hidden="false" customHeight="false" outlineLevel="0" collapsed="false">
      <c r="A32" s="3"/>
      <c r="B32" s="80" t="s">
        <v>331</v>
      </c>
      <c r="C32" s="136" t="n">
        <f aca="false">'DCF Valuation'!C19+C31</f>
        <v>1301432.94037158</v>
      </c>
      <c r="D32" s="3"/>
      <c r="E32" s="3"/>
      <c r="F32" s="3"/>
      <c r="G32" s="3"/>
      <c r="H32" s="3"/>
      <c r="I32" s="3"/>
    </row>
    <row r="33" customFormat="false" ht="15" hidden="false" customHeight="false" outlineLevel="0" collapsed="false">
      <c r="A33" s="3"/>
      <c r="B33" s="38" t="s">
        <v>302</v>
      </c>
      <c r="C33" s="99" t="n">
        <f aca="false">C32-C20</f>
        <v>1468589.97383738</v>
      </c>
      <c r="D33" s="3"/>
      <c r="E33" s="3"/>
      <c r="F33" s="3"/>
      <c r="G33" s="3"/>
      <c r="H33" s="3"/>
      <c r="I33" s="3"/>
    </row>
    <row r="34" customFormat="false" ht="15" hidden="false" customHeight="false" outlineLevel="0" collapsed="false">
      <c r="A34" s="3"/>
      <c r="B34" s="92" t="s">
        <v>303</v>
      </c>
      <c r="C34" s="137" t="n">
        <f aca="false">C33/(Assumptions!$C$42*1000)</f>
        <v>30.2802056461315</v>
      </c>
      <c r="D34" s="3"/>
      <c r="E34" s="3"/>
      <c r="F34" s="3"/>
      <c r="G34" s="3"/>
      <c r="H34" s="3"/>
      <c r="I34" s="3"/>
    </row>
    <row r="35" customFormat="false" ht="15" hidden="false" customHeight="false" outlineLevel="0" collapsed="false">
      <c r="A35" s="3"/>
      <c r="B35" s="3"/>
      <c r="C35" s="3"/>
      <c r="D35" s="3"/>
      <c r="E35" s="3"/>
      <c r="F35" s="3"/>
      <c r="G35" s="3"/>
      <c r="H35" s="3"/>
      <c r="I35" s="3"/>
    </row>
    <row r="36" customFormat="false" ht="21.75" hidden="false" customHeight="true" outlineLevel="0" collapsed="false">
      <c r="A36" s="3"/>
      <c r="B36" s="20" t="s">
        <v>332</v>
      </c>
      <c r="C36" s="15"/>
      <c r="D36" s="15"/>
      <c r="E36" s="15"/>
      <c r="F36" s="15"/>
      <c r="G36" s="15"/>
      <c r="H36" s="15"/>
      <c r="I36" s="3"/>
    </row>
    <row r="37" customFormat="false" ht="15" hidden="false" customHeight="false" outlineLevel="0" collapsed="false">
      <c r="A37" s="3"/>
      <c r="B37" s="127" t="s">
        <v>333</v>
      </c>
      <c r="C37" s="128" t="s">
        <v>131</v>
      </c>
      <c r="D37" s="128" t="s">
        <v>132</v>
      </c>
      <c r="E37" s="128" t="s">
        <v>334</v>
      </c>
      <c r="F37" s="3"/>
      <c r="G37" s="3"/>
      <c r="H37" s="3"/>
      <c r="I37" s="3"/>
    </row>
    <row r="38" customFormat="false" ht="15" hidden="false" customHeight="false" outlineLevel="0" collapsed="false">
      <c r="A38" s="3"/>
      <c r="B38" s="63" t="s">
        <v>335</v>
      </c>
      <c r="C38" s="133" t="n">
        <f aca="false">MIN(Sensitivity!D9:H13)</f>
        <v>21.1676015385295</v>
      </c>
      <c r="D38" s="133" t="n">
        <f aca="false">MAX(Sensitivity!D9:H13)</f>
        <v>32.1786703696587</v>
      </c>
      <c r="E38" s="138" t="n">
        <f aca="false">'DCF Valuation'!C28</f>
        <v>25.247626402072</v>
      </c>
      <c r="F38" s="3"/>
      <c r="G38" s="3"/>
      <c r="H38" s="3"/>
      <c r="I38" s="3"/>
    </row>
    <row r="39" customFormat="false" ht="15" hidden="false" customHeight="false" outlineLevel="0" collapsed="false">
      <c r="A39" s="3"/>
      <c r="B39" s="63" t="s">
        <v>336</v>
      </c>
      <c r="C39" s="90" t="n">
        <f aca="false">('DCF Valuation'!C19+(C28-1)*C29*'DCF Valuation'!L15-C20)/(Assumptions!$C$42*1000)</f>
        <v>28.4778666422504</v>
      </c>
      <c r="D39" s="90" t="n">
        <f aca="false">('DCF Valuation'!C19+(C28+1)*C29*'DCF Valuation'!L15-C20)/(Assumptions!$C$42*1000)</f>
        <v>32.0825446500126</v>
      </c>
      <c r="E39" s="138" t="n">
        <f aca="false">C34</f>
        <v>30.2802056461315</v>
      </c>
      <c r="F39" s="3"/>
      <c r="G39" s="3"/>
      <c r="H39" s="3"/>
      <c r="I39" s="3"/>
    </row>
    <row r="40" customFormat="false" ht="15" hidden="false" customHeight="false" outlineLevel="0" collapsed="false">
      <c r="A40" s="3"/>
      <c r="B40" s="63" t="s">
        <v>337</v>
      </c>
      <c r="C40" s="90" t="n">
        <f aca="false">(MIN(C8:C12)*C17-C20)/(Assumptions!$C$42*1000)</f>
        <v>24.1896794361464</v>
      </c>
      <c r="D40" s="90" t="n">
        <f aca="false">(MAX(C8:C12)*C17-C20)/(Assumptions!$C$42*1000)</f>
        <v>31.8318898911775</v>
      </c>
      <c r="E40" s="138" t="n">
        <f aca="false">E23</f>
        <v>28.5566568390213</v>
      </c>
      <c r="F40" s="3"/>
      <c r="G40" s="3"/>
      <c r="H40" s="3"/>
      <c r="I40" s="3"/>
    </row>
    <row r="41" customFormat="false" ht="15" hidden="false" customHeight="false" outlineLevel="0" collapsed="false">
      <c r="A41" s="3"/>
      <c r="B41" s="63" t="s">
        <v>338</v>
      </c>
      <c r="C41" s="90" t="n">
        <f aca="false">(MIN(D8:D12)*C18-C20)/(Assumptions!$C$42*1000)</f>
        <v>23.1471867102722</v>
      </c>
      <c r="D41" s="90" t="n">
        <f aca="false">(MAX(D8:D12)*C18-C20)/(Assumptions!$C$42*1000)</f>
        <v>34.6392325073113</v>
      </c>
      <c r="E41" s="138" t="n">
        <f aca="false">E24</f>
        <v>29.714070022866</v>
      </c>
      <c r="F41" s="3"/>
      <c r="G41" s="3"/>
      <c r="H41" s="3"/>
      <c r="I41" s="3"/>
    </row>
    <row r="42" customFormat="false" ht="15" hidden="false" customHeight="false" outlineLevel="0" collapsed="false">
      <c r="A42" s="3"/>
      <c r="B42" s="63" t="s">
        <v>339</v>
      </c>
      <c r="C42" s="90" t="n">
        <f aca="false">MIN(E8:E12)*C19</f>
        <v>21.4352264103007</v>
      </c>
      <c r="D42" s="90" t="n">
        <f aca="false">MAX(E8:E12)*C19</f>
        <v>28.1680859878952</v>
      </c>
      <c r="E42" s="138" t="n">
        <f aca="false">E25</f>
        <v>25.4199800378566</v>
      </c>
      <c r="F42" s="3"/>
      <c r="G42" s="3"/>
      <c r="H42" s="3"/>
      <c r="I42" s="3"/>
    </row>
    <row r="43" customFormat="false" ht="15" hidden="false" customHeight="false" outlineLevel="0" collapsed="false">
      <c r="A43" s="3"/>
      <c r="B43" s="121" t="s">
        <v>340</v>
      </c>
      <c r="C43" s="137" t="n">
        <f aca="false">MIN(C38:C42)</f>
        <v>21.1676015385295</v>
      </c>
      <c r="D43" s="137" t="n">
        <f aca="false">MAX(D38:D42)</f>
        <v>34.6392325073113</v>
      </c>
      <c r="E43" s="139" t="n">
        <f aca="false">AVERAGE(E38:E42)</f>
        <v>27.8437077895895</v>
      </c>
      <c r="F43" s="3"/>
      <c r="G43" s="3"/>
      <c r="H43" s="3"/>
      <c r="I43" s="3"/>
    </row>
    <row r="44" customFormat="false" ht="15" hidden="false" customHeight="false" outlineLevel="0" collapsed="false">
      <c r="A44" s="3"/>
      <c r="B44" s="3"/>
      <c r="C44" s="140" t="s">
        <v>341</v>
      </c>
      <c r="D44" s="140" t="s">
        <v>342</v>
      </c>
      <c r="E44" s="140" t="s">
        <v>343</v>
      </c>
      <c r="F44" s="140" t="s">
        <v>344</v>
      </c>
      <c r="G44" s="140" t="s">
        <v>345</v>
      </c>
      <c r="H44" s="3"/>
      <c r="I44" s="3"/>
    </row>
    <row r="45" customFormat="false" ht="15" hidden="false" customHeight="false" outlineLevel="0" collapsed="false">
      <c r="A45" s="3"/>
      <c r="B45" s="30" t="s">
        <v>346</v>
      </c>
      <c r="C45" s="141" t="n">
        <f aca="false">C38</f>
        <v>21.1676015385295</v>
      </c>
      <c r="D45" s="141" t="n">
        <f aca="false">C39</f>
        <v>28.4778666422504</v>
      </c>
      <c r="E45" s="141" t="n">
        <f aca="false">C40</f>
        <v>24.1896794361464</v>
      </c>
      <c r="F45" s="141" t="n">
        <f aca="false">C41</f>
        <v>23.1471867102722</v>
      </c>
      <c r="G45" s="141" t="n">
        <f aca="false">C42</f>
        <v>21.4352264103007</v>
      </c>
      <c r="H45" s="3"/>
      <c r="I45" s="3"/>
    </row>
    <row r="46" customFormat="false" ht="15" hidden="false" customHeight="false" outlineLevel="0" collapsed="false">
      <c r="A46" s="3"/>
      <c r="B46" s="30" t="s">
        <v>347</v>
      </c>
      <c r="C46" s="142" t="n">
        <f aca="false">D38-C38</f>
        <v>11.0110688311292</v>
      </c>
      <c r="D46" s="142" t="n">
        <f aca="false">D39-C39</f>
        <v>3.6046780077622</v>
      </c>
      <c r="E46" s="142" t="n">
        <f aca="false">D40-C40</f>
        <v>7.64221045503104</v>
      </c>
      <c r="F46" s="142" t="n">
        <f aca="false">D41-C41</f>
        <v>11.4920457970392</v>
      </c>
      <c r="G46" s="142" t="n">
        <f aca="false">D42-C42</f>
        <v>6.73285957759445</v>
      </c>
      <c r="H46" s="3"/>
      <c r="I46" s="3"/>
    </row>
    <row r="47" customFormat="false" ht="15" hidden="false" customHeight="false" outlineLevel="0" collapsed="false">
      <c r="A47" s="3"/>
      <c r="B47" s="3"/>
      <c r="C47" s="3"/>
      <c r="D47" s="3"/>
      <c r="E47" s="3"/>
      <c r="F47" s="3"/>
      <c r="G47" s="3"/>
      <c r="H47" s="3"/>
      <c r="I47" s="3"/>
    </row>
    <row r="48" customFormat="false" ht="15" hidden="false" customHeight="false" outlineLevel="0" collapsed="false">
      <c r="A48" s="3"/>
      <c r="B48" s="3"/>
      <c r="C48" s="3"/>
      <c r="D48" s="3"/>
      <c r="E48" s="3"/>
      <c r="F48" s="3"/>
      <c r="G48" s="3"/>
      <c r="H48" s="3"/>
      <c r="I48" s="3"/>
    </row>
    <row r="49" customFormat="false" ht="15" hidden="false" customHeight="false" outlineLevel="0" collapsed="false">
      <c r="A49" s="3"/>
      <c r="B49" s="3"/>
      <c r="C49" s="3"/>
      <c r="D49" s="3"/>
      <c r="E49" s="3"/>
      <c r="F49" s="3"/>
      <c r="G49" s="3"/>
      <c r="H49" s="3"/>
      <c r="I49" s="3"/>
    </row>
    <row r="50" customFormat="false" ht="15" hidden="false" customHeight="false" outlineLevel="0" collapsed="false">
      <c r="A50" s="3"/>
      <c r="B50" s="3"/>
      <c r="C50" s="3"/>
      <c r="D50" s="3"/>
      <c r="E50" s="3"/>
      <c r="F50" s="3"/>
      <c r="G50" s="3"/>
      <c r="H50" s="3"/>
      <c r="I50" s="3"/>
    </row>
    <row r="51" customFormat="false" ht="15" hidden="false" customHeight="false" outlineLevel="0" collapsed="false">
      <c r="A51" s="3"/>
      <c r="B51" s="3"/>
      <c r="C51" s="3"/>
      <c r="D51" s="3"/>
      <c r="E51" s="3"/>
      <c r="F51" s="3"/>
      <c r="G51" s="3"/>
      <c r="H51" s="3"/>
      <c r="I51" s="3"/>
    </row>
    <row r="52" customFormat="false" ht="15" hidden="false" customHeight="false" outlineLevel="0" collapsed="false">
      <c r="A52" s="3"/>
      <c r="B52" s="3"/>
      <c r="C52" s="3"/>
      <c r="D52" s="3"/>
      <c r="E52" s="3"/>
      <c r="F52" s="3"/>
      <c r="G52" s="3"/>
      <c r="H52" s="3"/>
      <c r="I52" s="3"/>
    </row>
    <row r="53" customFormat="false" ht="15" hidden="false" customHeight="false" outlineLevel="0" collapsed="false">
      <c r="A53" s="3"/>
      <c r="B53" s="3"/>
      <c r="C53" s="3"/>
      <c r="D53" s="3"/>
      <c r="E53" s="3"/>
      <c r="F53" s="3"/>
      <c r="G53" s="3"/>
      <c r="H53" s="3"/>
      <c r="I53" s="3"/>
    </row>
    <row r="54" customFormat="false" ht="15" hidden="false" customHeight="false" outlineLevel="0" collapsed="false">
      <c r="A54" s="3"/>
      <c r="B54" s="3"/>
      <c r="C54" s="3"/>
      <c r="D54" s="3"/>
      <c r="E54" s="3"/>
      <c r="F54" s="3"/>
      <c r="G54" s="3"/>
      <c r="H54" s="3"/>
      <c r="I54" s="3"/>
    </row>
    <row r="55" customFormat="false" ht="15" hidden="false" customHeight="false" outlineLevel="0" collapsed="false">
      <c r="A55" s="3"/>
      <c r="B55" s="3"/>
      <c r="C55" s="3"/>
      <c r="D55" s="3"/>
      <c r="E55" s="3"/>
      <c r="F55" s="3"/>
      <c r="G55" s="3"/>
      <c r="H55" s="3"/>
      <c r="I55" s="3"/>
    </row>
    <row r="56" customFormat="false" ht="15" hidden="false" customHeight="false" outlineLevel="0" collapsed="false">
      <c r="A56" s="3"/>
      <c r="B56" s="3"/>
      <c r="C56" s="3"/>
      <c r="D56" s="3"/>
      <c r="E56" s="3"/>
      <c r="F56" s="3"/>
      <c r="G56" s="3"/>
      <c r="H56" s="3"/>
      <c r="I56" s="3"/>
    </row>
    <row r="57" customFormat="false" ht="15" hidden="false" customHeight="false" outlineLevel="0" collapsed="false">
      <c r="A57" s="3"/>
      <c r="B57" s="3"/>
      <c r="C57" s="3"/>
      <c r="D57" s="3"/>
      <c r="E57" s="3"/>
      <c r="F57" s="3"/>
      <c r="G57" s="3"/>
      <c r="H57" s="3"/>
      <c r="I57" s="3"/>
    </row>
    <row r="58" customFormat="false" ht="15" hidden="false" customHeight="false" outlineLevel="0" collapsed="false">
      <c r="A58" s="3"/>
      <c r="B58" s="3"/>
      <c r="C58" s="3"/>
      <c r="D58" s="3"/>
      <c r="E58" s="3"/>
      <c r="F58" s="3"/>
      <c r="G58" s="3"/>
      <c r="H58" s="3"/>
      <c r="I58" s="3"/>
    </row>
    <row r="59" customFormat="false" ht="15" hidden="false" customHeight="false" outlineLevel="0" collapsed="false">
      <c r="A59" s="3"/>
      <c r="B59" s="3"/>
      <c r="C59" s="3"/>
      <c r="D59" s="3"/>
      <c r="E59" s="3"/>
      <c r="F59" s="3"/>
      <c r="G59" s="3"/>
      <c r="H59" s="3"/>
      <c r="I59" s="3"/>
    </row>
    <row r="60" customFormat="false" ht="15" hidden="false" customHeight="false" outlineLevel="0" collapsed="false">
      <c r="A60" s="3"/>
      <c r="B60" s="3"/>
      <c r="C60" s="3"/>
      <c r="D60" s="3"/>
      <c r="E60" s="3"/>
      <c r="F60" s="3"/>
      <c r="G60" s="3"/>
      <c r="H60" s="3"/>
      <c r="I60" s="3"/>
    </row>
    <row r="61" customFormat="false" ht="15" hidden="false" customHeight="false" outlineLevel="0" collapsed="false">
      <c r="A61" s="3"/>
      <c r="B61" s="3"/>
      <c r="C61" s="3"/>
      <c r="D61" s="3"/>
      <c r="E61" s="3"/>
      <c r="F61" s="3"/>
      <c r="G61" s="3"/>
      <c r="H61" s="3"/>
      <c r="I61" s="3"/>
    </row>
    <row r="62" customFormat="false" ht="15" hidden="false" customHeight="false" outlineLevel="0" collapsed="false">
      <c r="A62" s="3"/>
      <c r="B62" s="3"/>
      <c r="C62" s="3"/>
      <c r="D62" s="3"/>
      <c r="E62" s="3"/>
      <c r="F62" s="3"/>
      <c r="G62" s="3"/>
      <c r="H62" s="3"/>
      <c r="I62" s="3"/>
    </row>
    <row r="63" customFormat="false" ht="15" hidden="false" customHeight="false" outlineLevel="0" collapsed="false">
      <c r="A63" s="3"/>
      <c r="B63" s="3"/>
      <c r="C63" s="3"/>
      <c r="D63" s="3"/>
      <c r="E63" s="3"/>
      <c r="F63" s="3"/>
      <c r="G63" s="3"/>
      <c r="H63" s="3"/>
      <c r="I63" s="3"/>
    </row>
    <row r="64" customFormat="false" ht="15" hidden="false" customHeight="false" outlineLevel="0" collapsed="false">
      <c r="A64" s="3"/>
      <c r="B64" s="3"/>
      <c r="C64" s="3"/>
      <c r="D64" s="3"/>
      <c r="E64" s="3"/>
      <c r="F64" s="3"/>
      <c r="G64" s="3"/>
      <c r="H64" s="3"/>
      <c r="I64" s="3"/>
    </row>
    <row r="65" customFormat="false" ht="15" hidden="false" customHeight="false" outlineLevel="0" collapsed="false">
      <c r="A65" s="3"/>
      <c r="B65" s="3"/>
      <c r="C65" s="3"/>
      <c r="D65" s="3"/>
      <c r="E65" s="3"/>
      <c r="F65" s="3"/>
      <c r="G65" s="3"/>
      <c r="H65" s="3"/>
      <c r="I65" s="3"/>
    </row>
    <row r="66" customFormat="false" ht="15" hidden="false" customHeight="false" outlineLevel="0" collapsed="false">
      <c r="A66" s="3"/>
      <c r="B66" s="3"/>
      <c r="C66" s="3"/>
      <c r="D66" s="3"/>
      <c r="E66" s="3"/>
      <c r="F66" s="3"/>
      <c r="G66" s="3"/>
      <c r="H66" s="3"/>
      <c r="I66" s="3"/>
    </row>
    <row r="67" customFormat="false" ht="15" hidden="false" customHeight="false" outlineLevel="0" collapsed="false">
      <c r="A67" s="3"/>
      <c r="B67" s="3"/>
      <c r="C67" s="3"/>
      <c r="D67" s="3"/>
      <c r="E67" s="3"/>
      <c r="F67" s="3"/>
      <c r="G67" s="3"/>
      <c r="H67" s="3"/>
      <c r="I67" s="3"/>
    </row>
    <row r="68" customFormat="false" ht="15" hidden="false" customHeight="false" outlineLevel="0" collapsed="false">
      <c r="A68" s="3"/>
      <c r="B68" s="3"/>
      <c r="C68" s="3"/>
      <c r="D68" s="3"/>
      <c r="E68" s="3"/>
      <c r="F68" s="3"/>
      <c r="G68" s="3"/>
      <c r="H68" s="3"/>
      <c r="I68" s="3"/>
    </row>
  </sheetData>
  <mergeCells count="1">
    <mergeCell ref="B1:H1"/>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1E1E"/>
    <pageSetUpPr fitToPage="tru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0"/>
    <col collapsed="false" customWidth="true" hidden="false" outlineLevel="0" max="10" min="3" style="0" width="12.5"/>
  </cols>
  <sheetData>
    <row r="1" customFormat="false" ht="31.5" hidden="false" customHeight="true" outlineLevel="0" collapsed="false">
      <c r="A1" s="15"/>
      <c r="B1" s="16" t="s">
        <v>348</v>
      </c>
      <c r="C1" s="16"/>
      <c r="D1" s="16"/>
      <c r="E1" s="16"/>
      <c r="F1" s="16"/>
      <c r="G1" s="16"/>
      <c r="H1" s="16"/>
      <c r="I1" s="16"/>
      <c r="J1" s="16"/>
      <c r="K1" s="15"/>
      <c r="L1" s="15"/>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0" t="s">
        <v>95</v>
      </c>
      <c r="C3" s="3"/>
      <c r="D3" s="3"/>
      <c r="E3" s="3"/>
      <c r="F3" s="3"/>
      <c r="G3" s="3"/>
      <c r="H3" s="3"/>
      <c r="I3" s="3"/>
      <c r="J3" s="3"/>
      <c r="K3" s="3"/>
    </row>
    <row r="4" customFormat="false" ht="15" hidden="false" customHeight="false" outlineLevel="0" collapsed="false">
      <c r="A4" s="3"/>
      <c r="B4" s="3"/>
      <c r="C4" s="3"/>
      <c r="D4" s="3"/>
      <c r="E4" s="3"/>
      <c r="F4" s="3"/>
      <c r="G4" s="3"/>
      <c r="H4" s="3"/>
      <c r="I4" s="3"/>
      <c r="J4" s="3"/>
      <c r="K4" s="3"/>
    </row>
    <row r="5" customFormat="false" ht="15" hidden="false" customHeight="false" outlineLevel="0" collapsed="false">
      <c r="A5" s="3"/>
      <c r="B5" s="3"/>
      <c r="C5" s="3"/>
      <c r="D5" s="3"/>
      <c r="E5" s="3"/>
      <c r="F5" s="3"/>
      <c r="G5" s="3"/>
      <c r="H5" s="3"/>
      <c r="I5" s="3"/>
      <c r="J5" s="3"/>
      <c r="K5" s="3"/>
    </row>
    <row r="6" customFormat="false" ht="15" hidden="false" customHeight="false" outlineLevel="0" collapsed="false">
      <c r="A6" s="3"/>
      <c r="B6" s="143" t="s">
        <v>349</v>
      </c>
      <c r="C6" s="3"/>
      <c r="D6" s="3"/>
      <c r="E6" s="3"/>
      <c r="F6" s="3"/>
      <c r="G6" s="3"/>
      <c r="H6" s="3"/>
      <c r="I6" s="3"/>
      <c r="J6" s="3"/>
      <c r="K6" s="3"/>
    </row>
    <row r="7" customFormat="false" ht="15" hidden="false" customHeight="false" outlineLevel="0" collapsed="false">
      <c r="A7" s="3"/>
      <c r="B7" s="3"/>
      <c r="C7" s="3"/>
      <c r="D7" s="3"/>
      <c r="E7" s="3"/>
      <c r="F7" s="3"/>
      <c r="G7" s="3"/>
      <c r="H7" s="3"/>
      <c r="I7" s="3"/>
      <c r="J7" s="3"/>
      <c r="K7" s="3"/>
    </row>
    <row r="8" customFormat="false" ht="15" hidden="false" customHeight="false" outlineLevel="0" collapsed="false">
      <c r="A8" s="3"/>
      <c r="B8" s="144" t="s">
        <v>350</v>
      </c>
      <c r="C8" s="3"/>
      <c r="D8" s="145" t="n">
        <f aca="false">Assumptions!$C$41+(-0.01)</f>
        <v>0.013</v>
      </c>
      <c r="E8" s="145" t="n">
        <f aca="false">Assumptions!$C$41+(-0.005)</f>
        <v>0.018</v>
      </c>
      <c r="F8" s="145" t="n">
        <f aca="false">Assumptions!$C$41+(0)</f>
        <v>0.023</v>
      </c>
      <c r="G8" s="145" t="n">
        <f aca="false">Assumptions!$C$41+(0.005)</f>
        <v>0.028</v>
      </c>
      <c r="H8" s="145" t="n">
        <f aca="false">Assumptions!$C$41+(0.01)</f>
        <v>0.033</v>
      </c>
      <c r="I8" s="3"/>
      <c r="J8" s="3"/>
      <c r="K8" s="3"/>
    </row>
    <row r="9" customFormat="false" ht="15" hidden="false" customHeight="false" outlineLevel="0" collapsed="false">
      <c r="A9" s="3"/>
      <c r="B9" s="3"/>
      <c r="C9" s="145" t="n">
        <f aca="false">Assumptions!$C$40+(-0.01)</f>
        <v>0.0895351816595274</v>
      </c>
      <c r="D9" s="146" t="n">
        <f aca="false">(('DCF Valuation'!H13/(1+$C9)^1+'DCF Valuation'!I13/(1+$C9)^2+'DCF Valuation'!J13/(1+$C9)^3+'DCF Valuation'!K13/(1+$C9)^4+'DCF Valuation'!L13/(1+$C9)^5)+(('DCF Valuation'!L13*(1+D$8))/($C9-D$8)/(1+$C9)^5)-'DCF Valuation'!$C$25)/('DCF Valuation'!$C$27*1000)</f>
        <v>25.9891261457844</v>
      </c>
      <c r="E9" s="147" t="n">
        <f aca="false">(('DCF Valuation'!H13/(1+$C9)^1+'DCF Valuation'!I13/(1+$C9)^2+'DCF Valuation'!J13/(1+$C9)^3+'DCF Valuation'!K13/(1+$C9)^4+'DCF Valuation'!L13/(1+$C9)^5)+(('DCF Valuation'!L13*(1+E$8))/($C9-E$8)/(1+$C9)^5)-'DCF Valuation'!$C$25)/('DCF Valuation'!$C$27*1000)</f>
        <v>27.212045410713</v>
      </c>
      <c r="F9" s="146" t="n">
        <f aca="false">(('DCF Valuation'!H13/(1+$C9)^1+'DCF Valuation'!I13/(1+$C9)^2+'DCF Valuation'!J13/(1+$C9)^3+'DCF Valuation'!K13/(1+$C9)^4+'DCF Valuation'!L13/(1+$C9)^5)+(('DCF Valuation'!L13*(1+F$8))/($C9-F$8)/(1+$C9)^5)-'DCF Valuation'!$C$25)/('DCF Valuation'!$C$27*1000)</f>
        <v>28.618765070324</v>
      </c>
      <c r="G9" s="147" t="n">
        <f aca="false">(('DCF Valuation'!H13/(1+$C9)^1+'DCF Valuation'!I13/(1+$C9)^2+'DCF Valuation'!J13/(1+$C9)^3+'DCF Valuation'!K13/(1+$C9)^4+'DCF Valuation'!L13/(1+$C9)^5)+(('DCF Valuation'!L13*(1+G$8))/($C9-G$8)/(1+$C9)^5)-'DCF Valuation'!$C$25)/('DCF Valuation'!$C$27*1000)</f>
        <v>30.2540888587721</v>
      </c>
      <c r="H9" s="146" t="n">
        <f aca="false">(('DCF Valuation'!H13/(1+$C9)^1+'DCF Valuation'!I13/(1+$C9)^2+'DCF Valuation'!J13/(1+$C9)^3+'DCF Valuation'!K13/(1+$C9)^4+'DCF Valuation'!L13/(1+$C9)^5)+(('DCF Valuation'!L13*(1+H$8))/($C9-H$8)/(1+$C9)^5)-'DCF Valuation'!$C$25)/('DCF Valuation'!$C$27*1000)</f>
        <v>32.1786703696587</v>
      </c>
      <c r="I9" s="3"/>
      <c r="J9" s="3"/>
      <c r="K9" s="3"/>
    </row>
    <row r="10" customFormat="false" ht="15" hidden="false" customHeight="false" outlineLevel="0" collapsed="false">
      <c r="A10" s="3"/>
      <c r="B10" s="3"/>
      <c r="C10" s="145" t="n">
        <f aca="false">Assumptions!$C$40+(-0.005)</f>
        <v>0.0945351816595274</v>
      </c>
      <c r="D10" s="147" t="n">
        <f aca="false">(('DCF Valuation'!H13/(1+$C10)^1+'DCF Valuation'!I13/(1+$C10)^2+'DCF Valuation'!J13/(1+$C10)^3+'DCF Valuation'!K13/(1+$C10)^4+'DCF Valuation'!L13/(1+$C10)^5)+(('DCF Valuation'!L13*(1+D$8))/($C10-D$8)/(1+$C10)^5)-'DCF Valuation'!$C$25)/('DCF Valuation'!$C$27*1000)</f>
        <v>24.5608117908953</v>
      </c>
      <c r="E10" s="146" t="n">
        <f aca="false">(('DCF Valuation'!H13/(1+$C10)^1+'DCF Valuation'!I13/(1+$C10)^2+'DCF Valuation'!J13/(1+$C10)^3+'DCF Valuation'!K13/(1+$C10)^4+'DCF Valuation'!L13/(1+$C10)^5)+(('DCF Valuation'!L13*(1+E$8))/($C10-E$8)/(1+$C10)^5)-'DCF Valuation'!$C$25)/('DCF Valuation'!$C$27*1000)</f>
        <v>25.6142730249182</v>
      </c>
      <c r="F10" s="147" t="n">
        <f aca="false">(('DCF Valuation'!H13/(1+$C10)^1+'DCF Valuation'!I13/(1+$C10)^2+'DCF Valuation'!J13/(1+$C10)^3+'DCF Valuation'!K13/(1+$C10)^4+'DCF Valuation'!L13/(1+$C10)^5)+(('DCF Valuation'!L13*(1+F$8))/($C10-F$8)/(1+$C10)^5)-'DCF Valuation'!$C$25)/('DCF Valuation'!$C$27*1000)</f>
        <v>26.8149990326628</v>
      </c>
      <c r="G10" s="146" t="n">
        <f aca="false">(('DCF Valuation'!H13/(1+$C10)^1+'DCF Valuation'!I13/(1+$C10)^2+'DCF Valuation'!J13/(1+$C10)^3+'DCF Valuation'!K13/(1+$C10)^4+'DCF Valuation'!L13/(1+$C10)^5)+(('DCF Valuation'!L13*(1+G$8))/($C10-G$8)/(1+$C10)^5)-'DCF Valuation'!$C$25)/('DCF Valuation'!$C$27*1000)</f>
        <v>28.1961898678559</v>
      </c>
      <c r="H10" s="147" t="n">
        <f aca="false">(('DCF Valuation'!H13/(1+$C10)^1+'DCF Valuation'!I13/(1+$C10)^2+'DCF Valuation'!J13/(1+$C10)^3+'DCF Valuation'!K13/(1+$C10)^4+'DCF Valuation'!L13/(1+$C10)^5)+(('DCF Valuation'!L13*(1+H$8))/($C10-H$8)/(1+$C10)^5)-'DCF Valuation'!$C$25)/('DCF Valuation'!$C$27*1000)</f>
        <v>29.801836176803</v>
      </c>
      <c r="I10" s="3"/>
      <c r="J10" s="3"/>
      <c r="K10" s="3"/>
    </row>
    <row r="11" customFormat="false" ht="15" hidden="false" customHeight="false" outlineLevel="0" collapsed="false">
      <c r="A11" s="3"/>
      <c r="B11" s="3"/>
      <c r="C11" s="145" t="n">
        <f aca="false">Assumptions!$C$40+(0)</f>
        <v>0.0995351816595274</v>
      </c>
      <c r="D11" s="146" t="n">
        <f aca="false">(('DCF Valuation'!H13/(1+$C11)^1+'DCF Valuation'!I13/(1+$C11)^2+'DCF Valuation'!J13/(1+$C11)^3+'DCF Valuation'!K13/(1+$C11)^4+'DCF Valuation'!L13/(1+$C11)^5)+(('DCF Valuation'!L13*(1+D$8))/($C11-D$8)/(1+$C11)^5)-'DCF Valuation'!$C$25)/('DCF Valuation'!$C$27*1000)</f>
        <v>23.2983058097902</v>
      </c>
      <c r="E11" s="147" t="n">
        <f aca="false">(('DCF Valuation'!H13/(1+$C11)^1+'DCF Valuation'!I13/(1+$C11)^2+'DCF Valuation'!J13/(1+$C11)^3+'DCF Valuation'!K13/(1+$C11)^4+'DCF Valuation'!L13/(1+$C11)^5)+(('DCF Valuation'!L13*(1+E$8))/($C11-E$8)/(1+$C11)^5)-'DCF Valuation'!$C$25)/('DCF Valuation'!$C$27*1000)</f>
        <v>24.2131967967628</v>
      </c>
      <c r="F11" s="148" t="n">
        <f aca="false">(('DCF Valuation'!H13/(1+$C11)^1+'DCF Valuation'!I13/(1+$C11)^2+'DCF Valuation'!J13/(1+$C11)^3+'DCF Valuation'!K13/(1+$C11)^4+'DCF Valuation'!L13/(1+$C11)^5)+(('DCF Valuation'!L13*(1+F$8))/($C11-F$8)/(1+$C11)^5)-'DCF Valuation'!$C$25)/('DCF Valuation'!$C$27*1000)</f>
        <v>25.247626402072</v>
      </c>
      <c r="G11" s="147" t="n">
        <f aca="false">(('DCF Valuation'!H13/(1+$C11)^1+'DCF Valuation'!I13/(1+$C11)^2+'DCF Valuation'!J13/(1+$C11)^3+'DCF Valuation'!K13/(1+$C11)^4+'DCF Valuation'!L13/(1+$C11)^5)+(('DCF Valuation'!L13*(1+G$8))/($C11-G$8)/(1+$C11)^5)-'DCF Valuation'!$C$25)/('DCF Valuation'!$C$27*1000)</f>
        <v>26.4266603239304</v>
      </c>
      <c r="H11" s="146" t="n">
        <f aca="false">(('DCF Valuation'!H13/(1+$C11)^1+'DCF Valuation'!I13/(1+$C11)^2+'DCF Valuation'!J13/(1+$C11)^3+'DCF Valuation'!K13/(1+$C11)^4+'DCF Valuation'!L13/(1+$C11)^5)+(('DCF Valuation'!L13*(1+H$8))/($C11-H$8)/(1+$C11)^5)-'DCF Valuation'!$C$25)/('DCF Valuation'!$C$27*1000)</f>
        <v>27.7828988302584</v>
      </c>
      <c r="I11" s="3"/>
      <c r="J11" s="3"/>
      <c r="K11" s="3"/>
    </row>
    <row r="12" customFormat="false" ht="15" hidden="false" customHeight="false" outlineLevel="0" collapsed="false">
      <c r="A12" s="3"/>
      <c r="B12" s="3"/>
      <c r="C12" s="145" t="n">
        <f aca="false">Assumptions!$C$40+(0.005)</f>
        <v>0.104535181659527</v>
      </c>
      <c r="D12" s="147" t="n">
        <f aca="false">(('DCF Valuation'!H13/(1+$C12)^1+'DCF Valuation'!I13/(1+$C12)^2+'DCF Valuation'!J13/(1+$C12)^3+'DCF Valuation'!K13/(1+$C12)^4+'DCF Valuation'!L13/(1+$C12)^5)+(('DCF Valuation'!L13*(1+D$8))/($C12-D$8)/(1+$C12)^5)-'DCF Valuation'!$C$25)/('DCF Valuation'!$C$27*1000)</f>
        <v>22.1744205628429</v>
      </c>
      <c r="E12" s="146" t="n">
        <f aca="false">(('DCF Valuation'!H13/(1+$C12)^1+'DCF Valuation'!I13/(1+$C12)^2+'DCF Valuation'!J13/(1+$C12)^3+'DCF Valuation'!K13/(1+$C12)^4+'DCF Valuation'!L13/(1+$C12)^5)+(('DCF Valuation'!L13*(1+E$8))/($C12-E$8)/(1+$C12)^5)-'DCF Valuation'!$C$25)/('DCF Valuation'!$C$27*1000)</f>
        <v>22.9747055136043</v>
      </c>
      <c r="F12" s="147" t="n">
        <f aca="false">(('DCF Valuation'!H13/(1+$C12)^1+'DCF Valuation'!I13/(1+$C12)^2+'DCF Valuation'!J13/(1+$C12)^3+'DCF Valuation'!K13/(1+$C12)^4+'DCF Valuation'!L13/(1+$C12)^5)+(('DCF Valuation'!L13*(1+F$8))/($C12-F$8)/(1+$C12)^5)-'DCF Valuation'!$C$25)/('DCF Valuation'!$C$27*1000)</f>
        <v>23.8731425668659</v>
      </c>
      <c r="G12" s="146" t="n">
        <f aca="false">(('DCF Valuation'!H13/(1+$C12)^1+'DCF Valuation'!I13/(1+$C12)^2+'DCF Valuation'!J13/(1+$C12)^3+'DCF Valuation'!K13/(1+$C12)^4+'DCF Valuation'!L13/(1+$C12)^5)+(('DCF Valuation'!L13*(1+G$8))/($C12-G$8)/(1+$C12)^5)-'DCF Valuation'!$C$25)/('DCF Valuation'!$C$27*1000)</f>
        <v>24.8889683861539</v>
      </c>
      <c r="H12" s="147" t="n">
        <f aca="false">(('DCF Valuation'!H13/(1+$C12)^1+'DCF Valuation'!I13/(1+$C12)^2+'DCF Valuation'!J13/(1+$C12)^3+'DCF Valuation'!K13/(1+$C12)^4+'DCF Valuation'!L13/(1+$C12)^5)+(('DCF Valuation'!L13*(1+H$8))/($C12-H$8)/(1+$C12)^5)-'DCF Valuation'!$C$25)/('DCF Valuation'!$C$27*1000)</f>
        <v>26.0467978735283</v>
      </c>
      <c r="I12" s="3"/>
      <c r="J12" s="3"/>
      <c r="K12" s="3"/>
    </row>
    <row r="13" customFormat="false" ht="15" hidden="false" customHeight="false" outlineLevel="0" collapsed="false">
      <c r="A13" s="3"/>
      <c r="B13" s="3"/>
      <c r="C13" s="145" t="n">
        <f aca="false">Assumptions!$C$40+(0.01)</f>
        <v>0.109535181659527</v>
      </c>
      <c r="D13" s="146" t="n">
        <f aca="false">(('DCF Valuation'!H13/(1+$C13)^1+'DCF Valuation'!I13/(1+$C13)^2+'DCF Valuation'!J13/(1+$C13)^3+'DCF Valuation'!K13/(1+$C13)^4+'DCF Valuation'!L13/(1+$C13)^5)+(('DCF Valuation'!L13*(1+D$8))/($C13-D$8)/(1+$C13)^5)-'DCF Valuation'!$C$25)/('DCF Valuation'!$C$27*1000)</f>
        <v>21.1676015385295</v>
      </c>
      <c r="E13" s="147" t="n">
        <f aca="false">(('DCF Valuation'!H13/(1+$C13)^1+'DCF Valuation'!I13/(1+$C13)^2+'DCF Valuation'!J13/(1+$C13)^3+'DCF Valuation'!K13/(1+$C13)^4+'DCF Valuation'!L13/(1+$C13)^5)+(('DCF Valuation'!L13*(1+E$8))/($C13-E$8)/(1+$C13)^5)-'DCF Valuation'!$C$25)/('DCF Valuation'!$C$27*1000)</f>
        <v>21.8721415231598</v>
      </c>
      <c r="F13" s="146" t="n">
        <f aca="false">(('DCF Valuation'!H13/(1+$C13)^1+'DCF Valuation'!I13/(1+$C13)^2+'DCF Valuation'!J13/(1+$C13)^3+'DCF Valuation'!K13/(1+$C13)^4+'DCF Valuation'!L13/(1+$C13)^5)+(('DCF Valuation'!L13*(1+F$8))/($C13-F$8)/(1+$C13)^5)-'DCF Valuation'!$C$25)/('DCF Valuation'!$C$27*1000)</f>
        <v>22.6580981028811</v>
      </c>
      <c r="G13" s="147" t="n">
        <f aca="false">(('DCF Valuation'!H13/(1+$C13)^1+'DCF Valuation'!I13/(1+$C13)^2+'DCF Valuation'!J13/(1+$C13)^3+'DCF Valuation'!K13/(1+$C13)^4+'DCF Valuation'!L13/(1+$C13)^5)+(('DCF Valuation'!L13*(1+G$8))/($C13-G$8)/(1+$C13)^5)-'DCF Valuation'!$C$25)/('DCF Valuation'!$C$27*1000)</f>
        <v>23.5404494613623</v>
      </c>
      <c r="H13" s="146" t="n">
        <f aca="false">(('DCF Valuation'!H13/(1+$C13)^1+'DCF Valuation'!I13/(1+$C13)^2+'DCF Valuation'!J13/(1+$C13)^3+'DCF Valuation'!K13/(1+$C13)^4+'DCF Valuation'!L13/(1+$C13)^5)+(('DCF Valuation'!L13*(1+H$8))/($C13-H$8)/(1+$C13)^5)-'DCF Valuation'!$C$25)/('DCF Valuation'!$C$27*1000)</f>
        <v>24.5380878472403</v>
      </c>
      <c r="I13" s="3"/>
      <c r="J13" s="3"/>
      <c r="K13" s="3"/>
    </row>
    <row r="14" customFormat="false" ht="15" hidden="false" customHeight="false" outlineLevel="0" collapsed="false">
      <c r="A14" s="3"/>
      <c r="B14" s="3"/>
      <c r="C14" s="3"/>
      <c r="D14" s="3"/>
      <c r="E14" s="3"/>
      <c r="F14" s="3"/>
      <c r="G14" s="3"/>
      <c r="H14" s="3"/>
      <c r="I14" s="3"/>
      <c r="J14" s="3"/>
      <c r="K14" s="3"/>
    </row>
    <row r="15" customFormat="false" ht="15" hidden="false" customHeight="false" outlineLevel="0" collapsed="false">
      <c r="A15" s="3"/>
      <c r="B15" s="3"/>
      <c r="C15" s="3"/>
      <c r="D15" s="3"/>
      <c r="E15" s="3"/>
      <c r="F15" s="3"/>
      <c r="G15" s="3"/>
      <c r="H15" s="3"/>
      <c r="I15" s="3"/>
      <c r="J15" s="3"/>
      <c r="K15" s="3"/>
    </row>
    <row r="16" customFormat="false" ht="15" hidden="false" customHeight="false" outlineLevel="0" collapsed="false">
      <c r="A16" s="3"/>
      <c r="B16" s="54" t="s">
        <v>351</v>
      </c>
      <c r="C16" s="3"/>
      <c r="D16" s="3"/>
      <c r="E16" s="3"/>
      <c r="F16" s="3"/>
      <c r="G16" s="3"/>
      <c r="H16" s="3"/>
      <c r="I16" s="3"/>
      <c r="J16" s="3"/>
      <c r="K16" s="3"/>
    </row>
    <row r="17" customFormat="false" ht="15" hidden="false" customHeight="false" outlineLevel="0" collapsed="false">
      <c r="A17" s="3"/>
      <c r="B17" s="54" t="s">
        <v>352</v>
      </c>
      <c r="C17" s="3"/>
      <c r="D17" s="3"/>
      <c r="E17" s="3"/>
      <c r="F17" s="3"/>
      <c r="G17" s="3"/>
      <c r="H17" s="3"/>
      <c r="I17" s="3"/>
      <c r="J17" s="3"/>
      <c r="K17" s="3"/>
    </row>
    <row r="18" customFormat="false" ht="15" hidden="false" customHeight="false" outlineLevel="0" collapsed="false">
      <c r="A18" s="3"/>
      <c r="B18" s="3"/>
      <c r="C18" s="3"/>
      <c r="D18" s="3"/>
      <c r="E18" s="3"/>
      <c r="F18" s="3"/>
      <c r="G18" s="3"/>
      <c r="H18" s="3"/>
      <c r="I18" s="3"/>
      <c r="J18" s="3"/>
      <c r="K18" s="3"/>
    </row>
    <row r="19" customFormat="false" ht="15" hidden="false" customHeight="false" outlineLevel="0" collapsed="false">
      <c r="A19" s="3"/>
      <c r="B19" s="3"/>
      <c r="C19" s="3"/>
      <c r="D19" s="3"/>
      <c r="E19" s="3"/>
      <c r="F19" s="3"/>
      <c r="G19" s="3"/>
      <c r="H19" s="3"/>
      <c r="I19" s="3"/>
      <c r="J19" s="3"/>
      <c r="K19" s="3"/>
    </row>
    <row r="20" customFormat="false" ht="15" hidden="false" customHeight="false" outlineLevel="0" collapsed="false">
      <c r="A20" s="3"/>
      <c r="B20" s="3"/>
      <c r="C20" s="3"/>
      <c r="D20" s="3"/>
      <c r="E20" s="3"/>
      <c r="F20" s="3"/>
      <c r="G20" s="3"/>
      <c r="H20" s="3"/>
      <c r="I20" s="3"/>
      <c r="J20" s="3"/>
      <c r="K20" s="3"/>
    </row>
  </sheetData>
  <mergeCells count="1">
    <mergeCell ref="B1:J1"/>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true"/>
  </sheetPr>
  <dimension ref="A1:O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0"/>
    <col collapsed="false" customWidth="true" hidden="false" outlineLevel="0" max="11" min="3" style="0" width="13"/>
    <col collapsed="false" customWidth="true" hidden="false" outlineLevel="0" max="12" min="12" style="0" width="4"/>
    <col collapsed="false" customWidth="true" hidden="false" outlineLevel="0" max="13" min="13" style="0" width="30"/>
    <col collapsed="false" customWidth="true" hidden="false" outlineLevel="0" max="14" min="14" style="0" width="16"/>
  </cols>
  <sheetData>
    <row r="1" customFormat="false" ht="31.5" hidden="false" customHeight="true" outlineLevel="0" collapsed="false">
      <c r="A1" s="15"/>
      <c r="B1" s="16" t="s">
        <v>353</v>
      </c>
      <c r="C1" s="16"/>
      <c r="D1" s="16"/>
      <c r="E1" s="16"/>
      <c r="F1" s="16"/>
      <c r="G1" s="16"/>
      <c r="H1" s="16"/>
      <c r="I1" s="16"/>
      <c r="J1" s="16"/>
      <c r="K1" s="16"/>
      <c r="L1" s="16"/>
      <c r="M1" s="16"/>
      <c r="N1" s="16"/>
      <c r="O1" s="3"/>
    </row>
    <row r="2" customFormat="false" ht="3.75" hidden="false" customHeight="true" outlineLevel="0" collapsed="false">
      <c r="A2" s="2"/>
      <c r="B2" s="2"/>
      <c r="C2" s="2"/>
      <c r="D2" s="2"/>
      <c r="E2" s="2"/>
      <c r="F2" s="2"/>
      <c r="G2" s="2"/>
      <c r="H2" s="2"/>
      <c r="I2" s="2"/>
      <c r="J2" s="2"/>
      <c r="K2" s="2"/>
      <c r="L2" s="2"/>
      <c r="M2" s="2"/>
      <c r="N2" s="3"/>
      <c r="O2" s="3"/>
    </row>
    <row r="3" customFormat="false" ht="6" hidden="false" customHeight="true" outlineLevel="0" collapsed="false">
      <c r="A3" s="3"/>
      <c r="B3" s="3"/>
      <c r="C3" s="3"/>
      <c r="D3" s="3"/>
      <c r="E3" s="3"/>
      <c r="F3" s="3"/>
      <c r="G3" s="3"/>
      <c r="H3" s="3"/>
      <c r="I3" s="3"/>
      <c r="J3" s="3"/>
      <c r="K3" s="3"/>
      <c r="L3" s="3"/>
      <c r="M3" s="3"/>
      <c r="N3" s="3"/>
      <c r="O3" s="3"/>
    </row>
    <row r="4" customFormat="false" ht="15" hidden="false" customHeight="false" outlineLevel="0" collapsed="false">
      <c r="A4" s="3"/>
      <c r="B4" s="30" t="s">
        <v>95</v>
      </c>
      <c r="C4" s="3"/>
      <c r="D4" s="3"/>
      <c r="E4" s="3"/>
      <c r="F4" s="3"/>
      <c r="G4" s="3"/>
      <c r="H4" s="3"/>
      <c r="I4" s="3"/>
      <c r="J4" s="3"/>
      <c r="K4" s="3"/>
      <c r="L4" s="3"/>
      <c r="M4" s="3"/>
      <c r="N4" s="3"/>
      <c r="O4" s="3"/>
    </row>
    <row r="5" customFormat="false" ht="15" hidden="false" customHeight="false" outlineLevel="0" collapsed="false">
      <c r="A5" s="3"/>
      <c r="B5" s="3"/>
      <c r="C5" s="3"/>
      <c r="D5" s="3"/>
      <c r="E5" s="3"/>
      <c r="F5" s="3"/>
      <c r="G5" s="3"/>
      <c r="H5" s="3"/>
      <c r="I5" s="3"/>
      <c r="J5" s="3"/>
      <c r="K5" s="3"/>
      <c r="L5" s="3"/>
      <c r="M5" s="3"/>
      <c r="N5" s="3"/>
      <c r="O5" s="3"/>
    </row>
    <row r="6" customFormat="false" ht="19.5" hidden="false" customHeight="true" outlineLevel="0" collapsed="false">
      <c r="A6" s="3"/>
      <c r="B6" s="149" t="s">
        <v>354</v>
      </c>
      <c r="C6" s="150"/>
      <c r="D6" s="150"/>
      <c r="E6" s="150"/>
      <c r="F6" s="150"/>
      <c r="G6" s="150"/>
      <c r="H6" s="150"/>
      <c r="I6" s="150"/>
      <c r="J6" s="150"/>
      <c r="K6" s="150"/>
      <c r="L6" s="150"/>
      <c r="M6" s="150"/>
      <c r="N6" s="150"/>
      <c r="O6" s="3"/>
    </row>
    <row r="7" customFormat="false" ht="15" hidden="false" customHeight="false" outlineLevel="0" collapsed="false">
      <c r="A7" s="3"/>
      <c r="B7" s="128" t="s">
        <v>355</v>
      </c>
      <c r="C7" s="128" t="s">
        <v>356</v>
      </c>
      <c r="D7" s="128" t="s">
        <v>357</v>
      </c>
      <c r="E7" s="3"/>
      <c r="F7" s="151" t="s">
        <v>358</v>
      </c>
      <c r="G7" s="3"/>
      <c r="H7" s="3"/>
      <c r="I7" s="3"/>
      <c r="J7" s="3"/>
      <c r="K7" s="3"/>
      <c r="L7" s="3"/>
      <c r="M7" s="3"/>
      <c r="N7" s="3"/>
      <c r="O7" s="3"/>
    </row>
    <row r="8" customFormat="false" ht="15" hidden="false" customHeight="false" outlineLevel="0" collapsed="false">
      <c r="A8" s="3"/>
      <c r="B8" s="152" t="n">
        <v>1</v>
      </c>
      <c r="C8" s="153" t="n">
        <v>0.0190427706335033</v>
      </c>
      <c r="D8" s="153" t="n">
        <v>-0.000484064831006776</v>
      </c>
      <c r="E8" s="3"/>
      <c r="F8" s="38" t="s">
        <v>359</v>
      </c>
      <c r="G8" s="3"/>
      <c r="H8" s="154" t="n">
        <f aca="false">SLOPE(C8:C43,D8:D43)</f>
        <v>1.30852685589835</v>
      </c>
      <c r="I8" s="3"/>
      <c r="J8" s="3"/>
      <c r="K8" s="3"/>
      <c r="L8" s="3"/>
      <c r="M8" s="3"/>
      <c r="N8" s="3"/>
      <c r="O8" s="3"/>
    </row>
    <row r="9" customFormat="false" ht="15" hidden="false" customHeight="false" outlineLevel="0" collapsed="false">
      <c r="A9" s="3"/>
      <c r="B9" s="152" t="n">
        <v>2</v>
      </c>
      <c r="C9" s="153" t="n">
        <v>-0.0351818540734356</v>
      </c>
      <c r="D9" s="153" t="n">
        <v>-0.00178066201491837</v>
      </c>
      <c r="E9" s="3"/>
      <c r="F9" s="3"/>
      <c r="G9" s="3"/>
      <c r="H9" s="3"/>
      <c r="I9" s="3"/>
      <c r="J9" s="3"/>
      <c r="K9" s="3"/>
      <c r="L9" s="3"/>
      <c r="M9" s="3"/>
      <c r="N9" s="3"/>
      <c r="O9" s="3"/>
    </row>
    <row r="10" customFormat="false" ht="15" hidden="false" customHeight="false" outlineLevel="0" collapsed="false">
      <c r="A10" s="3"/>
      <c r="B10" s="152" t="n">
        <v>3</v>
      </c>
      <c r="C10" s="153" t="n">
        <v>0.0258655240176175</v>
      </c>
      <c r="D10" s="153" t="n">
        <v>0.00099078622945519</v>
      </c>
      <c r="E10" s="3"/>
      <c r="F10" s="38" t="s">
        <v>360</v>
      </c>
      <c r="G10" s="3"/>
      <c r="H10" s="155" t="n">
        <f aca="false">INTERCEPT(C8:C43,D8:D43)</f>
        <v>0.00605577806206737</v>
      </c>
      <c r="I10" s="3"/>
      <c r="J10" s="3"/>
      <c r="K10" s="3"/>
      <c r="L10" s="3"/>
      <c r="M10" s="3"/>
      <c r="N10" s="3"/>
      <c r="O10" s="3"/>
    </row>
    <row r="11" customFormat="false" ht="15" hidden="false" customHeight="false" outlineLevel="0" collapsed="false">
      <c r="A11" s="3"/>
      <c r="B11" s="152" t="n">
        <v>4</v>
      </c>
      <c r="C11" s="153" t="n">
        <v>0.0161659786950804</v>
      </c>
      <c r="D11" s="153" t="n">
        <v>0.0375892676294488</v>
      </c>
      <c r="E11" s="3"/>
      <c r="F11" s="3"/>
      <c r="G11" s="3"/>
      <c r="H11" s="3"/>
      <c r="I11" s="3"/>
      <c r="J11" s="3"/>
      <c r="K11" s="3"/>
      <c r="L11" s="3"/>
      <c r="M11" s="3"/>
      <c r="N11" s="3"/>
      <c r="O11" s="3"/>
    </row>
    <row r="12" customFormat="false" ht="15" hidden="false" customHeight="false" outlineLevel="0" collapsed="false">
      <c r="A12" s="3"/>
      <c r="B12" s="152" t="n">
        <v>5</v>
      </c>
      <c r="C12" s="153" t="n">
        <v>-0.00111752138318036</v>
      </c>
      <c r="D12" s="153" t="n">
        <v>0.000258527229770081</v>
      </c>
      <c r="E12" s="3"/>
      <c r="F12" s="38" t="s">
        <v>361</v>
      </c>
      <c r="G12" s="3"/>
      <c r="H12" s="156" t="n">
        <f aca="false">RSQ(C8:C43,D8:D43)</f>
        <v>0.793376713810123</v>
      </c>
      <c r="I12" s="3"/>
      <c r="J12" s="3"/>
      <c r="K12" s="3"/>
      <c r="L12" s="3"/>
      <c r="M12" s="3"/>
      <c r="N12" s="3"/>
      <c r="O12" s="3"/>
    </row>
    <row r="13" customFormat="false" ht="15" hidden="false" customHeight="false" outlineLevel="0" collapsed="false">
      <c r="A13" s="3"/>
      <c r="B13" s="152" t="n">
        <v>6</v>
      </c>
      <c r="C13" s="153" t="n">
        <v>-0.0778172329749275</v>
      </c>
      <c r="D13" s="153" t="n">
        <v>-0.0613809036453431</v>
      </c>
      <c r="E13" s="3"/>
      <c r="F13" s="3"/>
      <c r="G13" s="3"/>
      <c r="H13" s="3"/>
      <c r="I13" s="3"/>
      <c r="J13" s="3"/>
      <c r="K13" s="3"/>
      <c r="L13" s="3"/>
      <c r="M13" s="3"/>
      <c r="N13" s="3"/>
      <c r="O13" s="3"/>
    </row>
    <row r="14" customFormat="false" ht="15" hidden="false" customHeight="false" outlineLevel="0" collapsed="false">
      <c r="A14" s="3"/>
      <c r="B14" s="152" t="n">
        <v>7</v>
      </c>
      <c r="C14" s="153" t="n">
        <v>0.0283012303144101</v>
      </c>
      <c r="D14" s="153" t="n">
        <v>0.0209543254830472</v>
      </c>
      <c r="E14" s="3"/>
      <c r="F14" s="38" t="s">
        <v>362</v>
      </c>
      <c r="G14" s="3"/>
      <c r="H14" s="156" t="n">
        <f aca="false">CORREL(C8:C43,D8:D43)</f>
        <v>0.890716966162721</v>
      </c>
      <c r="I14" s="3"/>
      <c r="J14" s="3"/>
      <c r="K14" s="3"/>
      <c r="L14" s="3"/>
      <c r="M14" s="3"/>
      <c r="N14" s="3"/>
      <c r="O14" s="3"/>
    </row>
    <row r="15" customFormat="false" ht="15" hidden="false" customHeight="false" outlineLevel="0" collapsed="false">
      <c r="A15" s="3"/>
      <c r="B15" s="152" t="n">
        <v>8</v>
      </c>
      <c r="C15" s="153" t="n">
        <v>0.016987102210997</v>
      </c>
      <c r="D15" s="153" t="n">
        <v>-0.00603018653237257</v>
      </c>
      <c r="E15" s="3"/>
      <c r="F15" s="3"/>
      <c r="G15" s="3"/>
      <c r="H15" s="3"/>
      <c r="I15" s="3"/>
      <c r="J15" s="3"/>
      <c r="K15" s="3"/>
      <c r="L15" s="3"/>
      <c r="M15" s="3"/>
      <c r="N15" s="3"/>
      <c r="O15" s="3"/>
    </row>
    <row r="16" customFormat="false" ht="15" hidden="false" customHeight="false" outlineLevel="0" collapsed="false">
      <c r="A16" s="3"/>
      <c r="B16" s="152" t="n">
        <v>9</v>
      </c>
      <c r="C16" s="153" t="n">
        <v>0.0145479742376746</v>
      </c>
      <c r="D16" s="153" t="n">
        <v>-0.00376314078653378</v>
      </c>
      <c r="E16" s="3"/>
      <c r="F16" s="38" t="s">
        <v>363</v>
      </c>
      <c r="G16" s="3"/>
      <c r="H16" s="157" t="n">
        <f aca="false">STEYX(C8:C43,D8:D43)/STDEV(D8:D43)/SQRT(COUNT(D8:D43)-1)</f>
        <v>0.114523098428949</v>
      </c>
      <c r="I16" s="3"/>
      <c r="J16" s="3"/>
      <c r="K16" s="3"/>
      <c r="L16" s="3"/>
      <c r="M16" s="3"/>
      <c r="N16" s="3"/>
      <c r="O16" s="3"/>
    </row>
    <row r="17" customFormat="false" ht="15" hidden="false" customHeight="false" outlineLevel="0" collapsed="false">
      <c r="A17" s="3"/>
      <c r="B17" s="152" t="n">
        <v>10</v>
      </c>
      <c r="C17" s="153" t="n">
        <v>0.0236938205641071</v>
      </c>
      <c r="D17" s="153" t="n">
        <v>0.0112148154015385</v>
      </c>
      <c r="E17" s="3"/>
      <c r="F17" s="3"/>
      <c r="G17" s="3"/>
      <c r="H17" s="3"/>
      <c r="I17" s="3"/>
      <c r="J17" s="3"/>
      <c r="K17" s="3"/>
      <c r="L17" s="3"/>
      <c r="M17" s="3"/>
      <c r="N17" s="3"/>
      <c r="O17" s="3"/>
    </row>
    <row r="18" customFormat="false" ht="15" hidden="false" customHeight="false" outlineLevel="0" collapsed="false">
      <c r="A18" s="3"/>
      <c r="B18" s="152" t="n">
        <v>11</v>
      </c>
      <c r="C18" s="153" t="n">
        <v>0.0381199546234992</v>
      </c>
      <c r="D18" s="153" t="n">
        <v>0.0164533981608024</v>
      </c>
      <c r="E18" s="3"/>
      <c r="F18" s="38" t="s">
        <v>364</v>
      </c>
      <c r="G18" s="3"/>
      <c r="H18" s="158" t="n">
        <f aca="false">COUNT(D8:D43)</f>
        <v>36</v>
      </c>
      <c r="I18" s="3"/>
      <c r="J18" s="3"/>
      <c r="K18" s="3"/>
      <c r="L18" s="3"/>
      <c r="M18" s="3"/>
      <c r="N18" s="3"/>
      <c r="O18" s="3"/>
    </row>
    <row r="19" customFormat="false" ht="15" hidden="false" customHeight="false" outlineLevel="0" collapsed="false">
      <c r="A19" s="3"/>
      <c r="B19" s="152" t="n">
        <v>12</v>
      </c>
      <c r="C19" s="153" t="n">
        <v>0.081511939085709</v>
      </c>
      <c r="D19" s="153" t="n">
        <v>0.0583601408969614</v>
      </c>
      <c r="E19" s="3"/>
      <c r="F19" s="3"/>
      <c r="G19" s="3"/>
      <c r="H19" s="3"/>
      <c r="I19" s="3"/>
      <c r="J19" s="3"/>
      <c r="K19" s="3"/>
      <c r="L19" s="3"/>
      <c r="M19" s="3"/>
      <c r="N19" s="3"/>
      <c r="O19" s="3"/>
    </row>
    <row r="20" customFormat="false" ht="15" hidden="false" customHeight="false" outlineLevel="0" collapsed="false">
      <c r="A20" s="3"/>
      <c r="B20" s="152" t="n">
        <v>13</v>
      </c>
      <c r="C20" s="153" t="n">
        <v>0.0243253462006823</v>
      </c>
      <c r="D20" s="153" t="n">
        <v>0.0355486428059401</v>
      </c>
      <c r="E20" s="3"/>
      <c r="F20" s="3"/>
      <c r="G20" s="3"/>
      <c r="H20" s="3"/>
      <c r="I20" s="3"/>
      <c r="J20" s="3"/>
      <c r="K20" s="3"/>
      <c r="L20" s="3"/>
      <c r="M20" s="3"/>
      <c r="N20" s="3"/>
      <c r="O20" s="3"/>
    </row>
    <row r="21" customFormat="false" ht="15" hidden="false" customHeight="false" outlineLevel="0" collapsed="false">
      <c r="A21" s="3"/>
      <c r="B21" s="152" t="n">
        <v>14</v>
      </c>
      <c r="C21" s="153" t="n">
        <v>-0.00646764419414587</v>
      </c>
      <c r="D21" s="153" t="n">
        <v>0.0109728229849724</v>
      </c>
      <c r="E21" s="3"/>
      <c r="F21" s="100" t="s">
        <v>365</v>
      </c>
      <c r="G21" s="3"/>
      <c r="H21" s="159" t="n">
        <f aca="false">H8/H12</f>
        <v>1.64931341331442</v>
      </c>
      <c r="I21" s="3"/>
      <c r="J21" s="3"/>
      <c r="K21" s="3"/>
      <c r="L21" s="3"/>
      <c r="M21" s="3"/>
      <c r="N21" s="3"/>
      <c r="O21" s="3"/>
    </row>
    <row r="22" customFormat="false" ht="15" hidden="false" customHeight="false" outlineLevel="0" collapsed="false">
      <c r="A22" s="3"/>
      <c r="B22" s="152" t="n">
        <v>15</v>
      </c>
      <c r="C22" s="153" t="n">
        <v>-0.0434672545971529</v>
      </c>
      <c r="D22" s="153" t="n">
        <v>-0.0272244721055169</v>
      </c>
      <c r="E22" s="3"/>
      <c r="F22" s="160" t="s">
        <v>366</v>
      </c>
      <c r="G22" s="3"/>
      <c r="H22" s="3"/>
      <c r="I22" s="3"/>
      <c r="J22" s="3"/>
      <c r="K22" s="3"/>
      <c r="L22" s="3"/>
      <c r="M22" s="3"/>
      <c r="N22" s="3"/>
      <c r="O22" s="3"/>
    </row>
    <row r="23" customFormat="false" ht="15" hidden="false" customHeight="false" outlineLevel="0" collapsed="false">
      <c r="A23" s="3"/>
      <c r="B23" s="152" t="n">
        <v>16</v>
      </c>
      <c r="C23" s="153" t="n">
        <v>-0.0306276383041395</v>
      </c>
      <c r="D23" s="153" t="n">
        <v>-0.0396598065369473</v>
      </c>
      <c r="E23" s="3"/>
      <c r="F23" s="3"/>
      <c r="G23" s="3"/>
      <c r="H23" s="3"/>
      <c r="I23" s="3"/>
      <c r="J23" s="3"/>
      <c r="K23" s="3"/>
      <c r="L23" s="3"/>
      <c r="M23" s="3"/>
      <c r="N23" s="3"/>
      <c r="O23" s="3"/>
    </row>
    <row r="24" customFormat="false" ht="15" hidden="false" customHeight="false" outlineLevel="0" collapsed="false">
      <c r="A24" s="3"/>
      <c r="B24" s="152" t="n">
        <v>17</v>
      </c>
      <c r="C24" s="153" t="n">
        <v>0.0136449726142529</v>
      </c>
      <c r="D24" s="153" t="n">
        <v>0.0170853987845041</v>
      </c>
      <c r="E24" s="3"/>
      <c r="F24" s="3"/>
      <c r="G24" s="3"/>
      <c r="H24" s="3"/>
      <c r="I24" s="3"/>
      <c r="J24" s="3"/>
      <c r="K24" s="3"/>
      <c r="L24" s="3"/>
      <c r="M24" s="3"/>
      <c r="N24" s="3"/>
      <c r="O24" s="3"/>
    </row>
    <row r="25" customFormat="false" ht="15" hidden="false" customHeight="false" outlineLevel="0" collapsed="false">
      <c r="A25" s="3"/>
      <c r="B25" s="152" t="n">
        <v>18</v>
      </c>
      <c r="C25" s="153" t="n">
        <v>0.141149551037265</v>
      </c>
      <c r="D25" s="153" t="n">
        <v>0.0649986372241822</v>
      </c>
      <c r="E25" s="3"/>
      <c r="F25" s="3"/>
      <c r="G25" s="3"/>
      <c r="H25" s="3"/>
      <c r="I25" s="3"/>
      <c r="J25" s="3"/>
      <c r="K25" s="3"/>
      <c r="L25" s="3"/>
      <c r="M25" s="3"/>
      <c r="N25" s="3"/>
      <c r="O25" s="3"/>
    </row>
    <row r="26" customFormat="false" ht="15" hidden="false" customHeight="false" outlineLevel="0" collapsed="false">
      <c r="A26" s="3"/>
      <c r="B26" s="152" t="n">
        <v>19</v>
      </c>
      <c r="C26" s="153" t="n">
        <v>-0.0128844484742217</v>
      </c>
      <c r="D26" s="153" t="n">
        <v>0.00787455887565228</v>
      </c>
      <c r="E26" s="3"/>
      <c r="F26" s="3"/>
      <c r="G26" s="3"/>
      <c r="H26" s="3"/>
      <c r="I26" s="3"/>
      <c r="J26" s="3"/>
      <c r="K26" s="3"/>
      <c r="L26" s="3"/>
      <c r="M26" s="3"/>
      <c r="N26" s="3"/>
      <c r="O26" s="3"/>
    </row>
    <row r="27" customFormat="false" ht="15" hidden="false" customHeight="false" outlineLevel="0" collapsed="false">
      <c r="A27" s="3"/>
      <c r="B27" s="152" t="n">
        <v>20</v>
      </c>
      <c r="C27" s="153" t="n">
        <v>-0.0283707192498985</v>
      </c>
      <c r="D27" s="153" t="n">
        <v>0.00121545178031471</v>
      </c>
      <c r="E27" s="3"/>
      <c r="F27" s="3"/>
      <c r="G27" s="3"/>
      <c r="H27" s="3"/>
      <c r="I27" s="3"/>
      <c r="J27" s="3"/>
      <c r="K27" s="3"/>
      <c r="L27" s="3"/>
      <c r="M27" s="3"/>
      <c r="N27" s="3"/>
      <c r="O27" s="3"/>
    </row>
    <row r="28" customFormat="false" ht="15" hidden="false" customHeight="false" outlineLevel="0" collapsed="false">
      <c r="A28" s="3"/>
      <c r="B28" s="152" t="n">
        <v>21</v>
      </c>
      <c r="C28" s="153" t="n">
        <v>0.0569366778388965</v>
      </c>
      <c r="D28" s="153" t="n">
        <v>0.0299299299180391</v>
      </c>
      <c r="E28" s="3"/>
      <c r="F28" s="3"/>
      <c r="G28" s="3"/>
      <c r="H28" s="3"/>
      <c r="I28" s="3"/>
      <c r="J28" s="3"/>
      <c r="K28" s="3"/>
      <c r="L28" s="3"/>
      <c r="M28" s="3"/>
      <c r="N28" s="3"/>
      <c r="O28" s="3"/>
    </row>
    <row r="29" customFormat="false" ht="15" hidden="false" customHeight="false" outlineLevel="0" collapsed="false">
      <c r="A29" s="3"/>
      <c r="B29" s="152" t="n">
        <v>22</v>
      </c>
      <c r="C29" s="153" t="n">
        <v>-0.0275091696943321</v>
      </c>
      <c r="D29" s="153" t="n">
        <v>-0.0594095384103905</v>
      </c>
      <c r="E29" s="3"/>
      <c r="F29" s="3"/>
      <c r="G29" s="3"/>
      <c r="H29" s="3"/>
      <c r="I29" s="3"/>
      <c r="J29" s="3"/>
      <c r="K29" s="3"/>
      <c r="L29" s="3"/>
      <c r="M29" s="3"/>
      <c r="N29" s="3"/>
      <c r="O29" s="3"/>
    </row>
    <row r="30" customFormat="false" ht="15" hidden="false" customHeight="false" outlineLevel="0" collapsed="false">
      <c r="A30" s="3"/>
      <c r="B30" s="152" t="n">
        <v>23</v>
      </c>
      <c r="C30" s="153" t="n">
        <v>0.00589904418126831</v>
      </c>
      <c r="D30" s="153" t="n">
        <v>-0.00805247927150519</v>
      </c>
      <c r="E30" s="3"/>
      <c r="F30" s="3"/>
      <c r="G30" s="3"/>
      <c r="H30" s="3"/>
      <c r="I30" s="3"/>
      <c r="J30" s="3"/>
      <c r="K30" s="3"/>
      <c r="L30" s="3"/>
      <c r="M30" s="3"/>
      <c r="N30" s="3"/>
      <c r="O30" s="3"/>
    </row>
    <row r="31" customFormat="false" ht="15" hidden="false" customHeight="false" outlineLevel="0" collapsed="false">
      <c r="A31" s="3"/>
      <c r="B31" s="152" t="n">
        <v>24</v>
      </c>
      <c r="C31" s="153" t="n">
        <v>0.0566791467488098</v>
      </c>
      <c r="D31" s="153" t="n">
        <v>0.0280663139667086</v>
      </c>
      <c r="E31" s="3"/>
      <c r="F31" s="3"/>
      <c r="G31" s="3"/>
      <c r="H31" s="3"/>
      <c r="I31" s="3"/>
      <c r="J31" s="3"/>
      <c r="K31" s="3"/>
      <c r="L31" s="3"/>
      <c r="M31" s="3"/>
      <c r="N31" s="3"/>
      <c r="O31" s="3"/>
    </row>
    <row r="32" customFormat="false" ht="15" hidden="false" customHeight="false" outlineLevel="0" collapsed="false">
      <c r="A32" s="3"/>
      <c r="B32" s="152" t="n">
        <v>25</v>
      </c>
      <c r="C32" s="153" t="n">
        <v>0.0930363363117669</v>
      </c>
      <c r="D32" s="153" t="n">
        <v>0.0453031973420751</v>
      </c>
      <c r="E32" s="3"/>
      <c r="F32" s="3"/>
      <c r="G32" s="3"/>
      <c r="H32" s="3"/>
      <c r="I32" s="3"/>
      <c r="J32" s="3"/>
      <c r="K32" s="3"/>
      <c r="L32" s="3"/>
      <c r="M32" s="3"/>
      <c r="N32" s="3"/>
      <c r="O32" s="3"/>
    </row>
    <row r="33" customFormat="false" ht="15" hidden="false" customHeight="false" outlineLevel="0" collapsed="false">
      <c r="A33" s="3"/>
      <c r="B33" s="152" t="n">
        <v>26</v>
      </c>
      <c r="C33" s="153" t="n">
        <v>-0.00718535488835977</v>
      </c>
      <c r="D33" s="153" t="n">
        <v>-0.00482833526948109</v>
      </c>
      <c r="E33" s="3"/>
      <c r="F33" s="3"/>
      <c r="G33" s="3"/>
      <c r="H33" s="3"/>
      <c r="I33" s="3"/>
      <c r="J33" s="3"/>
      <c r="K33" s="3"/>
      <c r="L33" s="3"/>
      <c r="M33" s="3"/>
      <c r="N33" s="3"/>
      <c r="O33" s="3"/>
    </row>
    <row r="34" customFormat="false" ht="15" hidden="false" customHeight="false" outlineLevel="0" collapsed="false">
      <c r="A34" s="3"/>
      <c r="B34" s="152" t="n">
        <v>27</v>
      </c>
      <c r="C34" s="153" t="n">
        <v>-0.012453807440792</v>
      </c>
      <c r="D34" s="153" t="n">
        <v>0.022946993640956</v>
      </c>
      <c r="E34" s="3"/>
      <c r="F34" s="3"/>
      <c r="G34" s="3"/>
      <c r="H34" s="3"/>
      <c r="I34" s="3"/>
      <c r="J34" s="3"/>
      <c r="K34" s="3"/>
      <c r="L34" s="3"/>
      <c r="M34" s="3"/>
      <c r="N34" s="3"/>
      <c r="O34" s="3"/>
    </row>
    <row r="35" customFormat="false" ht="15" hidden="false" customHeight="false" outlineLevel="0" collapsed="false">
      <c r="A35" s="3"/>
      <c r="B35" s="152" t="n">
        <v>28</v>
      </c>
      <c r="C35" s="153" t="n">
        <v>0.00584690264982149</v>
      </c>
      <c r="D35" s="153" t="n">
        <v>0.0171696052197787</v>
      </c>
      <c r="E35" s="3"/>
      <c r="F35" s="3"/>
      <c r="G35" s="3"/>
      <c r="H35" s="3"/>
      <c r="I35" s="3"/>
      <c r="J35" s="3"/>
      <c r="K35" s="3"/>
      <c r="L35" s="3"/>
      <c r="M35" s="3"/>
      <c r="N35" s="3"/>
      <c r="O35" s="3"/>
    </row>
    <row r="36" customFormat="false" ht="15" hidden="false" customHeight="false" outlineLevel="0" collapsed="false">
      <c r="A36" s="3"/>
      <c r="B36" s="152" t="n">
        <v>29</v>
      </c>
      <c r="C36" s="153" t="n">
        <v>0.0750664935552776</v>
      </c>
      <c r="D36" s="153" t="n">
        <v>0.0412047063916639</v>
      </c>
      <c r="E36" s="3"/>
      <c r="F36" s="3"/>
      <c r="G36" s="3"/>
      <c r="H36" s="3"/>
      <c r="I36" s="3"/>
      <c r="J36" s="3"/>
      <c r="K36" s="3"/>
      <c r="L36" s="3"/>
      <c r="M36" s="3"/>
      <c r="N36" s="3"/>
      <c r="O36" s="3"/>
    </row>
    <row r="37" customFormat="false" ht="15" hidden="false" customHeight="false" outlineLevel="0" collapsed="false">
      <c r="A37" s="3"/>
      <c r="B37" s="152" t="n">
        <v>30</v>
      </c>
      <c r="C37" s="153" t="n">
        <v>-0.090132244957535</v>
      </c>
      <c r="D37" s="153" t="n">
        <v>-0.0440949996411678</v>
      </c>
      <c r="E37" s="3"/>
      <c r="F37" s="3"/>
      <c r="G37" s="3"/>
      <c r="H37" s="3"/>
      <c r="I37" s="3"/>
      <c r="J37" s="3"/>
      <c r="K37" s="3"/>
      <c r="L37" s="3"/>
      <c r="M37" s="3"/>
      <c r="N37" s="3"/>
      <c r="O37" s="3"/>
    </row>
    <row r="38" customFormat="false" ht="15" hidden="false" customHeight="false" outlineLevel="0" collapsed="false">
      <c r="A38" s="3"/>
      <c r="B38" s="152" t="n">
        <v>31</v>
      </c>
      <c r="C38" s="153" t="n">
        <v>0.038245850064587</v>
      </c>
      <c r="D38" s="153" t="n">
        <v>0.0315712809413424</v>
      </c>
      <c r="E38" s="3"/>
      <c r="F38" s="3"/>
      <c r="G38" s="3"/>
      <c r="H38" s="3"/>
      <c r="I38" s="3"/>
      <c r="J38" s="3"/>
      <c r="K38" s="3"/>
      <c r="L38" s="3"/>
      <c r="M38" s="3"/>
      <c r="N38" s="3"/>
      <c r="O38" s="3"/>
    </row>
    <row r="39" customFormat="false" ht="15" hidden="false" customHeight="false" outlineLevel="0" collapsed="false">
      <c r="A39" s="3"/>
      <c r="B39" s="152" t="n">
        <v>32</v>
      </c>
      <c r="C39" s="153" t="n">
        <v>-0.0633857842101983</v>
      </c>
      <c r="D39" s="153" t="n">
        <v>-0.0621534176276313</v>
      </c>
      <c r="E39" s="3"/>
      <c r="F39" s="3"/>
      <c r="G39" s="3"/>
      <c r="H39" s="3"/>
      <c r="I39" s="3"/>
      <c r="J39" s="3"/>
      <c r="K39" s="3"/>
      <c r="L39" s="3"/>
      <c r="M39" s="3"/>
      <c r="N39" s="3"/>
      <c r="O39" s="3"/>
    </row>
    <row r="40" customFormat="false" ht="15" hidden="false" customHeight="false" outlineLevel="0" collapsed="false">
      <c r="A40" s="3"/>
      <c r="B40" s="152" t="n">
        <v>33</v>
      </c>
      <c r="C40" s="153" t="n">
        <v>-0.136518756214608</v>
      </c>
      <c r="D40" s="153" t="n">
        <v>-0.111897543999848</v>
      </c>
      <c r="E40" s="3"/>
      <c r="F40" s="3"/>
      <c r="G40" s="3"/>
      <c r="H40" s="3"/>
      <c r="I40" s="3"/>
      <c r="J40" s="3"/>
      <c r="K40" s="3"/>
      <c r="L40" s="3"/>
      <c r="M40" s="3"/>
      <c r="N40" s="3"/>
      <c r="O40" s="3"/>
    </row>
    <row r="41" customFormat="false" ht="15" hidden="false" customHeight="false" outlineLevel="0" collapsed="false">
      <c r="A41" s="3"/>
      <c r="B41" s="152" t="n">
        <v>34</v>
      </c>
      <c r="C41" s="153" t="n">
        <v>-0.00324489956601756</v>
      </c>
      <c r="D41" s="153" t="n">
        <v>-0.0213100827689776</v>
      </c>
      <c r="E41" s="3"/>
      <c r="F41" s="3"/>
      <c r="G41" s="3"/>
      <c r="H41" s="3"/>
      <c r="I41" s="3"/>
      <c r="J41" s="3"/>
      <c r="K41" s="3"/>
      <c r="L41" s="3"/>
      <c r="M41" s="3"/>
      <c r="N41" s="3"/>
      <c r="O41" s="3"/>
    </row>
    <row r="42" customFormat="false" ht="15" hidden="false" customHeight="false" outlineLevel="0" collapsed="false">
      <c r="A42" s="3"/>
      <c r="B42" s="152" t="n">
        <v>35</v>
      </c>
      <c r="C42" s="153" t="n">
        <v>-0.0232313371356614</v>
      </c>
      <c r="D42" s="153" t="n">
        <v>-0.0352114520855698</v>
      </c>
      <c r="E42" s="3"/>
      <c r="F42" s="3"/>
      <c r="G42" s="3"/>
      <c r="H42" s="3"/>
      <c r="I42" s="3"/>
      <c r="J42" s="3"/>
      <c r="K42" s="3"/>
      <c r="L42" s="3"/>
      <c r="M42" s="3"/>
      <c r="N42" s="3"/>
      <c r="O42" s="3"/>
    </row>
    <row r="43" customFormat="false" ht="15" hidden="false" customHeight="false" outlineLevel="0" collapsed="false">
      <c r="A43" s="3"/>
      <c r="B43" s="152" t="n">
        <v>36</v>
      </c>
      <c r="C43" s="153" t="n">
        <v>0.11823307205139</v>
      </c>
      <c r="D43" s="153" t="n">
        <v>0.0454205509375383</v>
      </c>
      <c r="E43" s="3"/>
      <c r="F43" s="3"/>
      <c r="G43" s="3"/>
      <c r="H43" s="3"/>
      <c r="I43" s="3"/>
      <c r="J43" s="3"/>
      <c r="K43" s="3"/>
      <c r="L43" s="3"/>
      <c r="M43" s="3"/>
      <c r="N43" s="3"/>
      <c r="O43" s="3"/>
    </row>
    <row r="44" customFormat="false" ht="15" hidden="false" customHeight="false" outlineLevel="0" collapsed="false">
      <c r="A44" s="3"/>
      <c r="B44" s="3"/>
      <c r="C44" s="3"/>
      <c r="D44" s="3"/>
      <c r="E44" s="3"/>
      <c r="F44" s="3"/>
      <c r="G44" s="3"/>
      <c r="H44" s="3"/>
      <c r="I44" s="3"/>
      <c r="J44" s="3"/>
      <c r="K44" s="3"/>
      <c r="L44" s="3"/>
      <c r="M44" s="3"/>
      <c r="N44" s="3"/>
      <c r="O44" s="3"/>
    </row>
    <row r="45" customFormat="false" ht="15" hidden="false" customHeight="false" outlineLevel="0" collapsed="false">
      <c r="A45" s="3"/>
      <c r="B45" s="3"/>
      <c r="C45" s="3"/>
      <c r="D45" s="3"/>
      <c r="E45" s="3"/>
      <c r="F45" s="3"/>
      <c r="G45" s="3"/>
      <c r="H45" s="3"/>
      <c r="I45" s="3"/>
      <c r="J45" s="3"/>
      <c r="K45" s="3"/>
      <c r="L45" s="3"/>
      <c r="M45" s="3"/>
      <c r="N45" s="3"/>
      <c r="O45" s="3"/>
    </row>
    <row r="46" customFormat="false" ht="19.5" hidden="false" customHeight="true" outlineLevel="0" collapsed="false">
      <c r="A46" s="3"/>
      <c r="B46" s="149" t="s">
        <v>367</v>
      </c>
      <c r="C46" s="150"/>
      <c r="D46" s="150"/>
      <c r="E46" s="150"/>
      <c r="F46" s="150"/>
      <c r="G46" s="150"/>
      <c r="H46" s="150"/>
      <c r="I46" s="150"/>
      <c r="J46" s="150"/>
      <c r="K46" s="150"/>
      <c r="L46" s="150"/>
      <c r="M46" s="150"/>
      <c r="N46" s="150"/>
      <c r="O46" s="3"/>
    </row>
    <row r="47" customFormat="false" ht="15" hidden="false" customHeight="false" outlineLevel="0" collapsed="false">
      <c r="A47" s="3"/>
      <c r="B47" s="54" t="s">
        <v>368</v>
      </c>
      <c r="C47" s="3"/>
      <c r="D47" s="3"/>
      <c r="E47" s="3"/>
      <c r="F47" s="3"/>
      <c r="G47" s="3"/>
      <c r="H47" s="3"/>
      <c r="I47" s="3"/>
      <c r="J47" s="3"/>
      <c r="K47" s="3"/>
      <c r="L47" s="3"/>
      <c r="M47" s="3"/>
      <c r="N47" s="3"/>
      <c r="O47" s="3"/>
    </row>
    <row r="48" customFormat="false" ht="15" hidden="false" customHeight="false" outlineLevel="0" collapsed="false">
      <c r="A48" s="3"/>
      <c r="B48" s="128" t="s">
        <v>369</v>
      </c>
      <c r="C48" s="128" t="s">
        <v>370</v>
      </c>
      <c r="D48" s="128" t="s">
        <v>371</v>
      </c>
      <c r="E48" s="128" t="s">
        <v>372</v>
      </c>
      <c r="F48" s="128" t="s">
        <v>373</v>
      </c>
      <c r="G48" s="3"/>
      <c r="H48" s="3"/>
      <c r="I48" s="3"/>
      <c r="J48" s="3"/>
      <c r="K48" s="3"/>
      <c r="L48" s="3"/>
      <c r="M48" s="3"/>
      <c r="N48" s="3"/>
      <c r="O48" s="3"/>
    </row>
    <row r="49" customFormat="false" ht="15" hidden="false" customHeight="false" outlineLevel="0" collapsed="false">
      <c r="A49" s="3"/>
      <c r="B49" s="161" t="s">
        <v>118</v>
      </c>
      <c r="C49" s="162" t="n">
        <f aca="false">SLOPE(Assumptions!D20:G20,Assumptions!D7:G7)</f>
        <v>-0.619679758003424</v>
      </c>
      <c r="D49" s="163" t="n">
        <f aca="false">INTERCEPT(Assumptions!D20:G20,Assumptions!D7:G7)</f>
        <v>0.0596509700759185</v>
      </c>
      <c r="E49" s="162" t="n">
        <f aca="false">RSQ(Assumptions!D20:G20,Assumptions!D7:G7)</f>
        <v>0.0719742363462851</v>
      </c>
      <c r="F49" s="162" t="n">
        <f aca="false">CORREL(Assumptions!D20:G20,Assumptions!D7:G7)</f>
        <v>-0.268280145270359</v>
      </c>
      <c r="G49" s="3"/>
      <c r="H49" s="3"/>
      <c r="I49" s="3"/>
      <c r="J49" s="3"/>
      <c r="K49" s="3"/>
      <c r="L49" s="3"/>
      <c r="M49" s="3"/>
      <c r="N49" s="3"/>
      <c r="O49" s="3"/>
    </row>
    <row r="50" customFormat="false" ht="15" hidden="false" customHeight="false" outlineLevel="0" collapsed="false">
      <c r="A50" s="3"/>
      <c r="B50" s="161" t="s">
        <v>119</v>
      </c>
      <c r="C50" s="162" t="n">
        <f aca="false">SLOPE(Assumptions!D21:G21,Assumptions!D7:G7)</f>
        <v>2.13972572121506</v>
      </c>
      <c r="D50" s="163" t="n">
        <f aca="false">INTERCEPT(Assumptions!D21:G21,Assumptions!D7:G7)</f>
        <v>0.0883786763110507</v>
      </c>
      <c r="E50" s="162" t="n">
        <f aca="false">RSQ(Assumptions!D21:G21,Assumptions!D7:G7)</f>
        <v>0.271675660529834</v>
      </c>
      <c r="F50" s="162" t="n">
        <f aca="false">CORREL(Assumptions!D21:G21,Assumptions!D7:G7)</f>
        <v>0.521225153393267</v>
      </c>
      <c r="G50" s="3"/>
      <c r="H50" s="3"/>
      <c r="I50" s="3"/>
      <c r="J50" s="3"/>
      <c r="K50" s="3"/>
      <c r="L50" s="3"/>
      <c r="M50" s="3"/>
      <c r="N50" s="3"/>
      <c r="O50" s="3"/>
    </row>
    <row r="51" customFormat="false" ht="15" hidden="false" customHeight="false" outlineLevel="0" collapsed="false">
      <c r="A51" s="3"/>
      <c r="B51" s="161" t="s">
        <v>215</v>
      </c>
      <c r="C51" s="162" t="n">
        <f aca="false">SLOPE(Assumptions!D22:G22,Assumptions!D7:G7)</f>
        <v>2.07977740785513</v>
      </c>
      <c r="D51" s="163" t="n">
        <f aca="false">INTERCEPT(Assumptions!D22:G22,Assumptions!D7:G7)</f>
        <v>0.0364489818759424</v>
      </c>
      <c r="E51" s="162" t="n">
        <f aca="false">RSQ(Assumptions!D22:G22,Assumptions!D7:G7)</f>
        <v>0.111104232989808</v>
      </c>
      <c r="F51" s="162" t="n">
        <f aca="false">CORREL(Assumptions!D22:G22,Assumptions!D7:G7)</f>
        <v>0.333323015991707</v>
      </c>
      <c r="G51" s="3"/>
      <c r="H51" s="3"/>
      <c r="I51" s="3"/>
      <c r="J51" s="3"/>
      <c r="K51" s="3"/>
      <c r="L51" s="3"/>
      <c r="M51" s="3"/>
      <c r="N51" s="3"/>
      <c r="O51" s="3"/>
    </row>
    <row r="52" customFormat="false" ht="15" hidden="false" customHeight="false" outlineLevel="0" collapsed="false">
      <c r="A52" s="3"/>
      <c r="B52" s="161" t="s">
        <v>212</v>
      </c>
      <c r="C52" s="162" t="n">
        <f aca="false">SLOPE('Revenue Build'!D23:G23,Assumptions!D7:G7)</f>
        <v>1.10667250378135</v>
      </c>
      <c r="D52" s="163" t="n">
        <f aca="false">INTERCEPT('Revenue Build'!D23:G23,Assumptions!D7:G7)</f>
        <v>0.0594108204053714</v>
      </c>
      <c r="E52" s="162" t="n">
        <f aca="false">RSQ('Revenue Build'!D23:G23,Assumptions!D7:G7)</f>
        <v>0.123339364570463</v>
      </c>
      <c r="F52" s="162" t="n">
        <f aca="false">CORREL('Revenue Build'!D23:G23,Assumptions!D7:G7)</f>
        <v>0.351197045218866</v>
      </c>
      <c r="G52" s="3"/>
      <c r="H52" s="3"/>
      <c r="I52" s="3"/>
      <c r="J52" s="3"/>
      <c r="K52" s="3"/>
      <c r="L52" s="3"/>
      <c r="M52" s="3"/>
      <c r="N52" s="3"/>
      <c r="O52" s="3"/>
    </row>
    <row r="53" customFormat="false" ht="15" hidden="false" customHeight="false" outlineLevel="0" collapsed="false">
      <c r="A53" s="3"/>
      <c r="B53" s="3"/>
      <c r="C53" s="3"/>
      <c r="D53" s="3"/>
      <c r="E53" s="3"/>
      <c r="F53" s="3"/>
      <c r="G53" s="3"/>
      <c r="H53" s="3"/>
      <c r="I53" s="3"/>
      <c r="J53" s="3"/>
      <c r="K53" s="3"/>
      <c r="L53" s="3"/>
      <c r="M53" s="3"/>
      <c r="N53" s="3"/>
      <c r="O53" s="3"/>
    </row>
    <row r="54" customFormat="false" ht="15" hidden="false" customHeight="false" outlineLevel="0" collapsed="false">
      <c r="A54" s="3"/>
      <c r="B54" s="151" t="s">
        <v>374</v>
      </c>
      <c r="C54" s="3"/>
      <c r="D54" s="3"/>
      <c r="E54" s="3"/>
      <c r="F54" s="3"/>
      <c r="G54" s="3"/>
      <c r="H54" s="3"/>
      <c r="I54" s="3"/>
      <c r="J54" s="3"/>
      <c r="K54" s="3"/>
      <c r="L54" s="3"/>
      <c r="M54" s="3"/>
      <c r="N54" s="3"/>
      <c r="O54" s="3"/>
    </row>
    <row r="55" customFormat="false" ht="32.8" hidden="false" customHeight="false" outlineLevel="0" collapsed="false">
      <c r="A55" s="3"/>
      <c r="B55" s="38"/>
      <c r="C55" s="164" t="s">
        <v>118</v>
      </c>
      <c r="D55" s="164" t="s">
        <v>119</v>
      </c>
      <c r="E55" s="164" t="s">
        <v>120</v>
      </c>
      <c r="F55" s="3"/>
      <c r="G55" s="3"/>
      <c r="H55" s="3"/>
      <c r="I55" s="3"/>
      <c r="J55" s="3"/>
      <c r="K55" s="3"/>
      <c r="L55" s="3"/>
      <c r="M55" s="3"/>
      <c r="N55" s="3"/>
      <c r="O55" s="3"/>
    </row>
    <row r="56" customFormat="false" ht="15" hidden="false" customHeight="false" outlineLevel="0" collapsed="false">
      <c r="A56" s="3"/>
      <c r="B56" s="165" t="s">
        <v>118</v>
      </c>
      <c r="C56" s="166" t="n">
        <f aca="false">CORREL(Assumptions!D20:G20,Assumptions!D20:G20)</f>
        <v>1</v>
      </c>
      <c r="D56" s="167" t="n">
        <f aca="false">CORREL(Assumptions!D20:G20,Assumptions!D21:G21)</f>
        <v>0.659618761132291</v>
      </c>
      <c r="E56" s="167" t="n">
        <f aca="false">CORREL(Assumptions!D20:G20,Assumptions!D22:G22)</f>
        <v>0.208982006893902</v>
      </c>
      <c r="F56" s="3"/>
      <c r="G56" s="3"/>
      <c r="H56" s="3"/>
      <c r="I56" s="3"/>
      <c r="J56" s="3"/>
      <c r="K56" s="3"/>
      <c r="L56" s="3"/>
      <c r="M56" s="3"/>
      <c r="N56" s="3"/>
      <c r="O56" s="3"/>
    </row>
    <row r="57" customFormat="false" ht="15" hidden="false" customHeight="false" outlineLevel="0" collapsed="false">
      <c r="A57" s="3"/>
      <c r="B57" s="165" t="s">
        <v>119</v>
      </c>
      <c r="C57" s="167" t="n">
        <f aca="false">CORREL(Assumptions!D21:G21,Assumptions!D20:G20)</f>
        <v>0.659618761132291</v>
      </c>
      <c r="D57" s="166" t="n">
        <f aca="false">CORREL(Assumptions!D21:G21,Assumptions!D21:G21)</f>
        <v>1</v>
      </c>
      <c r="E57" s="167" t="n">
        <f aca="false">CORREL(Assumptions!D21:G21,Assumptions!D22:G22)</f>
        <v>0.608070940125877</v>
      </c>
      <c r="F57" s="3"/>
      <c r="G57" s="3"/>
      <c r="H57" s="3"/>
      <c r="I57" s="3"/>
      <c r="J57" s="3"/>
      <c r="K57" s="3"/>
      <c r="L57" s="3"/>
      <c r="M57" s="3"/>
      <c r="N57" s="3"/>
      <c r="O57" s="3"/>
    </row>
    <row r="58" customFormat="false" ht="15" hidden="false" customHeight="false" outlineLevel="0" collapsed="false">
      <c r="A58" s="3"/>
      <c r="B58" s="165" t="s">
        <v>120</v>
      </c>
      <c r="C58" s="167" t="n">
        <f aca="false">CORREL(Assumptions!D22:G22,Assumptions!D20:G20)</f>
        <v>0.208982006893902</v>
      </c>
      <c r="D58" s="167" t="n">
        <f aca="false">CORREL(Assumptions!D22:G22,Assumptions!D21:G21)</f>
        <v>0.608070940125877</v>
      </c>
      <c r="E58" s="166" t="n">
        <f aca="false">CORREL(Assumptions!D22:G22,Assumptions!D22:G22)</f>
        <v>1</v>
      </c>
      <c r="F58" s="3"/>
      <c r="G58" s="3"/>
      <c r="H58" s="3"/>
      <c r="I58" s="3"/>
      <c r="J58" s="3"/>
      <c r="K58" s="3"/>
      <c r="L58" s="3"/>
      <c r="M58" s="3"/>
      <c r="N58" s="3"/>
      <c r="O58" s="3"/>
    </row>
    <row r="59" customFormat="false" ht="15" hidden="false" customHeight="false" outlineLevel="0" collapsed="false">
      <c r="A59" s="3"/>
      <c r="B59" s="3"/>
      <c r="C59" s="3"/>
      <c r="D59" s="3"/>
      <c r="E59" s="3"/>
      <c r="F59" s="3"/>
      <c r="G59" s="3"/>
      <c r="H59" s="3"/>
      <c r="I59" s="3"/>
      <c r="J59" s="3"/>
      <c r="K59" s="3"/>
      <c r="L59" s="3"/>
      <c r="M59" s="3"/>
      <c r="N59" s="3"/>
      <c r="O59" s="3"/>
    </row>
    <row r="60" customFormat="false" ht="15" hidden="false" customHeight="false" outlineLevel="0" collapsed="false">
      <c r="A60" s="3"/>
      <c r="B60" s="3"/>
      <c r="C60" s="3"/>
      <c r="D60" s="3"/>
      <c r="E60" s="3"/>
      <c r="F60" s="3"/>
      <c r="G60" s="3"/>
      <c r="H60" s="3"/>
      <c r="I60" s="3"/>
      <c r="J60" s="3"/>
      <c r="K60" s="3"/>
      <c r="L60" s="3"/>
      <c r="M60" s="3"/>
      <c r="N60" s="3"/>
      <c r="O60" s="3"/>
    </row>
    <row r="61" customFormat="false" ht="15" hidden="false" customHeight="false" outlineLevel="0" collapsed="false">
      <c r="A61" s="3"/>
      <c r="B61" s="3"/>
      <c r="C61" s="3"/>
      <c r="D61" s="3"/>
      <c r="E61" s="3"/>
      <c r="F61" s="3"/>
      <c r="G61" s="3"/>
      <c r="H61" s="3"/>
      <c r="I61" s="3"/>
      <c r="J61" s="3"/>
      <c r="K61" s="3"/>
      <c r="L61" s="3"/>
      <c r="M61" s="3"/>
      <c r="N61" s="3"/>
      <c r="O61" s="3"/>
    </row>
    <row r="62" customFormat="false" ht="15" hidden="false" customHeight="false" outlineLevel="0" collapsed="false">
      <c r="A62" s="3"/>
      <c r="B62" s="3"/>
      <c r="C62" s="3"/>
      <c r="D62" s="3"/>
      <c r="E62" s="3"/>
      <c r="F62" s="3"/>
      <c r="G62" s="3"/>
      <c r="H62" s="3"/>
      <c r="I62" s="3"/>
      <c r="J62" s="3"/>
      <c r="K62" s="3"/>
      <c r="L62" s="3"/>
      <c r="M62" s="3"/>
      <c r="N62" s="3"/>
      <c r="O62" s="3"/>
    </row>
  </sheetData>
  <mergeCells count="1">
    <mergeCell ref="B1:N1"/>
  </mergeCells>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2B1D"/>
    <pageSetUpPr fitToPage="true"/>
  </sheetPr>
  <dimension ref="A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3" min="3" style="0" width="16"/>
    <col collapsed="false" customWidth="true" hidden="false" outlineLevel="0" max="4" min="4" style="0" width="60"/>
  </cols>
  <sheetData>
    <row r="1" customFormat="false" ht="31.5" hidden="false" customHeight="true" outlineLevel="0" collapsed="false">
      <c r="A1" s="15"/>
      <c r="B1" s="16" t="s">
        <v>375</v>
      </c>
      <c r="C1" s="16"/>
      <c r="D1" s="16"/>
      <c r="E1" s="15"/>
      <c r="F1" s="15"/>
      <c r="G1" s="15"/>
      <c r="H1" s="15"/>
      <c r="I1" s="15"/>
      <c r="J1" s="15"/>
      <c r="K1" s="15"/>
      <c r="L1" s="15"/>
      <c r="M1" s="15"/>
    </row>
    <row r="2" customFormat="false" ht="3.75" hidden="false" customHeight="true" outlineLevel="0" collapsed="false">
      <c r="A2" s="2"/>
      <c r="B2" s="2"/>
      <c r="C2" s="2"/>
      <c r="D2" s="2"/>
      <c r="E2" s="2"/>
      <c r="F2" s="2"/>
      <c r="G2" s="2"/>
      <c r="H2" s="2"/>
      <c r="I2" s="2"/>
      <c r="J2" s="2"/>
      <c r="K2" s="2"/>
      <c r="L2" s="2"/>
      <c r="M2" s="2"/>
    </row>
    <row r="3" customFormat="false" ht="15" hidden="false" customHeight="false" outlineLevel="0" collapsed="false">
      <c r="A3" s="3"/>
      <c r="B3" s="30" t="s">
        <v>95</v>
      </c>
      <c r="C3" s="3"/>
      <c r="D3" s="3"/>
      <c r="E3" s="3"/>
    </row>
    <row r="4" customFormat="false" ht="15" hidden="false" customHeight="false" outlineLevel="0" collapsed="false">
      <c r="A4" s="3"/>
      <c r="B4" s="3"/>
      <c r="C4" s="3"/>
      <c r="D4" s="3"/>
      <c r="E4" s="3"/>
    </row>
    <row r="5" customFormat="false" ht="15" hidden="false" customHeight="false" outlineLevel="0" collapsed="false">
      <c r="A5" s="3"/>
      <c r="B5" s="3"/>
      <c r="C5" s="3"/>
      <c r="D5" s="3"/>
      <c r="E5" s="3"/>
    </row>
    <row r="6" customFormat="false" ht="25.5" hidden="false" customHeight="true" outlineLevel="0" collapsed="false">
      <c r="A6" s="3"/>
      <c r="B6" s="52" t="s">
        <v>376</v>
      </c>
      <c r="C6" s="168" t="str">
        <f aca="false">IF(COUNTIF(C8:C26,"*FAIL*")=0,"✅ ALL CHECKS PASSED","❌ REVIEW REQUIRED")</f>
        <v>✅ ALL CHECKS PASSED</v>
      </c>
      <c r="D6" s="168"/>
      <c r="E6" s="3"/>
    </row>
    <row r="7" customFormat="false" ht="15" hidden="false" customHeight="false" outlineLevel="0" collapsed="false">
      <c r="A7" s="3"/>
      <c r="B7" s="3"/>
      <c r="C7" s="3"/>
      <c r="D7" s="3"/>
      <c r="E7" s="3"/>
    </row>
    <row r="8" customFormat="false" ht="35.05" hidden="false" customHeight="false" outlineLevel="0" collapsed="false">
      <c r="A8" s="3"/>
      <c r="B8" s="38" t="s">
        <v>377</v>
      </c>
      <c r="C8" s="169" t="str">
        <f aca="false">IF(SUMPRODUCT(--(ABS('Balance Sheet'!C22:L22)&gt;0.01))=0,"✅ PASS","❌ FAIL")</f>
        <v>✅ PASS</v>
      </c>
      <c r="D8" s="170" t="s">
        <v>378</v>
      </c>
      <c r="E8" s="3"/>
    </row>
    <row r="9" customFormat="false" ht="15" hidden="false" customHeight="false" outlineLevel="0" collapsed="false">
      <c r="A9" s="3"/>
      <c r="B9" s="3"/>
      <c r="C9" s="3"/>
      <c r="D9" s="3"/>
      <c r="E9" s="3"/>
    </row>
    <row r="10" customFormat="false" ht="23.85" hidden="false" customHeight="false" outlineLevel="0" collapsed="false">
      <c r="A10" s="3"/>
      <c r="B10" s="38" t="s">
        <v>379</v>
      </c>
      <c r="C10" s="169" t="str">
        <f aca="false">IF(SUMPRODUCT(--(ABS('Cash Flow'!D25:L25-'Balance Sheet'!D7:L7)&gt;0.01))=0,"✅ PASS","❌ FAIL")</f>
        <v>✅ PASS</v>
      </c>
      <c r="D10" s="170" t="s">
        <v>380</v>
      </c>
      <c r="E10" s="3"/>
    </row>
    <row r="11" customFormat="false" ht="15" hidden="false" customHeight="false" outlineLevel="0" collapsed="false">
      <c r="A11" s="3"/>
      <c r="B11" s="3"/>
      <c r="C11" s="3"/>
      <c r="D11" s="3"/>
      <c r="E11" s="3"/>
    </row>
    <row r="12" customFormat="false" ht="46.25" hidden="false" customHeight="false" outlineLevel="0" collapsed="false">
      <c r="A12" s="3"/>
      <c r="B12" s="38" t="s">
        <v>381</v>
      </c>
      <c r="C12" s="169" t="str">
        <f aca="false">IF(AND(SUMPRODUCT(--(ABS('Income Statement'!D22:L22-'Cash Flow'!D7:L7)&gt;0.01))=0,SUMPRODUCT(--(ABS(('Balance Sheet'!D19:L19-'Balance Sheet'!C19:K19)-'Income Statement'!D22:L22)&gt;0.01))=0),"✅ PASS","❌ FAIL")</f>
        <v>✅ PASS</v>
      </c>
      <c r="D12" s="170" t="s">
        <v>382</v>
      </c>
      <c r="E12" s="3"/>
    </row>
    <row r="13" customFormat="false" ht="15" hidden="false" customHeight="false" outlineLevel="0" collapsed="false">
      <c r="A13" s="3"/>
      <c r="B13" s="3"/>
      <c r="C13" s="3"/>
      <c r="D13" s="3"/>
      <c r="E13" s="3"/>
    </row>
    <row r="14" customFormat="false" ht="23.85" hidden="false" customHeight="false" outlineLevel="0" collapsed="false">
      <c r="A14" s="3"/>
      <c r="B14" s="38" t="s">
        <v>383</v>
      </c>
      <c r="C14" s="169" t="str">
        <f aca="false">IF((SUMPRODUCT(--ISERROR('Income Statement'!C6:L26))+SUMPRODUCT(--ISERROR('Balance Sheet'!C6:L22))+SUMPRODUCT(--ISERROR('Cash Flow'!C6:L25))+SUMPRODUCT(--ISERROR('DCF Valuation'!C6:L28))+SUMPRODUCT(--ISERROR('Revenue Build'!C6:L28))+SUMPRODUCT(--ISERROR(Assumptions!C6:L46))+SUMPRODUCT(--ISERROR(Sensitivity!C6:J17))+SUMPRODUCT(--ISERROR(Econometrics!C6:N60))+SUMPRODUCT(--ISERROR('Working Capital'!C6:L18))+SUMPRODUCT(--ISERROR('Debt Schedule'!C6:L15))+SUMPRODUCT(--ISERROR(Comparables!C6:H70)))=0,"✅ PASS","❌ FAIL")</f>
        <v>✅ PASS</v>
      </c>
      <c r="D14" s="170" t="s">
        <v>384</v>
      </c>
      <c r="E14" s="3"/>
    </row>
    <row r="15" customFormat="false" ht="15" hidden="false" customHeight="false" outlineLevel="0" collapsed="false">
      <c r="A15" s="3"/>
      <c r="B15" s="3"/>
      <c r="C15" s="3"/>
      <c r="D15" s="3"/>
      <c r="E15" s="3"/>
    </row>
    <row r="16" customFormat="false" ht="102.2" hidden="false" customHeight="false" outlineLevel="0" collapsed="false">
      <c r="A16" s="3"/>
      <c r="B16" s="38" t="s">
        <v>385</v>
      </c>
      <c r="C16" s="171" t="str">
        <f aca="false">"ℹ️ VERIFIED BY DESIGN"</f>
        <v>ℹ️ VERIFIED BY DESIGN</v>
      </c>
      <c r="D16" s="170" t="s">
        <v>386</v>
      </c>
      <c r="E16" s="3"/>
    </row>
    <row r="17" customFormat="false" ht="15" hidden="false" customHeight="false" outlineLevel="0" collapsed="false">
      <c r="A17" s="3"/>
      <c r="B17" s="3"/>
      <c r="C17" s="3"/>
      <c r="D17" s="3"/>
      <c r="E17" s="3"/>
    </row>
    <row r="18" customFormat="false" ht="23.85" hidden="false" customHeight="false" outlineLevel="0" collapsed="false">
      <c r="A18" s="3"/>
      <c r="B18" s="38" t="s">
        <v>387</v>
      </c>
      <c r="C18" s="169" t="str">
        <f aca="false">IF(SUMPRODUCT(--(ABS('Revenue Build'!C22:L22-('Revenue Build'!C9:L9+'Revenue Build'!C14:L14+'Revenue Build'!C19:L19))&gt;0.01))=0,"✅ PASS","❌ FAIL")</f>
        <v>✅ PASS</v>
      </c>
      <c r="D18" s="170" t="s">
        <v>388</v>
      </c>
      <c r="E18" s="3"/>
    </row>
    <row r="19" customFormat="false" ht="15" hidden="false" customHeight="false" outlineLevel="0" collapsed="false">
      <c r="A19" s="3"/>
      <c r="B19" s="3"/>
      <c r="C19" s="3"/>
      <c r="D19" s="3"/>
      <c r="E19" s="3"/>
    </row>
    <row r="20" customFormat="false" ht="35.05" hidden="false" customHeight="false" outlineLevel="0" collapsed="false">
      <c r="A20" s="3"/>
      <c r="B20" s="38" t="s">
        <v>389</v>
      </c>
      <c r="C20" s="169" t="str">
        <f aca="false">IF(SUMPRODUCT(--(ABS('Revenue Build'!C9:L9-'Revenue Build'!C7:L7*'Revenue Build'!C8:L8)&gt;0.01))=0,"✅ PASS","❌ FAIL")</f>
        <v>✅ PASS</v>
      </c>
      <c r="D20" s="170" t="s">
        <v>390</v>
      </c>
      <c r="E20" s="3"/>
    </row>
    <row r="21" customFormat="false" ht="15" hidden="false" customHeight="false" outlineLevel="0" collapsed="false">
      <c r="A21" s="3"/>
      <c r="B21" s="3"/>
      <c r="C21" s="3"/>
      <c r="D21" s="3"/>
      <c r="E21" s="3"/>
    </row>
    <row r="22" customFormat="false" ht="35.05" hidden="false" customHeight="false" outlineLevel="0" collapsed="false">
      <c r="A22" s="3"/>
      <c r="B22" s="38" t="s">
        <v>391</v>
      </c>
      <c r="C22" s="169" t="str">
        <f aca="false">IF(ABS('DCF Valuation'!C28-Sensitivity!F11)&lt;0.01,"✅ PASS","❌ FAIL")</f>
        <v>✅ PASS</v>
      </c>
      <c r="D22" s="170" t="s">
        <v>392</v>
      </c>
      <c r="E22" s="3"/>
    </row>
    <row r="23" customFormat="false" ht="15" hidden="false" customHeight="false" outlineLevel="0" collapsed="false">
      <c r="A23" s="3"/>
      <c r="B23" s="3"/>
      <c r="C23" s="3"/>
      <c r="D23" s="3"/>
      <c r="E23" s="3"/>
    </row>
    <row r="24" customFormat="false" ht="35.05" hidden="false" customHeight="false" outlineLevel="0" collapsed="false">
      <c r="A24" s="3"/>
      <c r="B24" s="38" t="s">
        <v>393</v>
      </c>
      <c r="C24" s="169" t="str">
        <f aca="false">IF(SUMPRODUCT(--(ABS('Debt Schedule'!C10:L10-'Balance Sheet'!C16:L16)&gt;0.01))=0,"✅ PASS","❌ FAIL")</f>
        <v>✅ PASS</v>
      </c>
      <c r="D24" s="170" t="s">
        <v>394</v>
      </c>
      <c r="E24" s="3"/>
    </row>
    <row r="25" customFormat="false" ht="15" hidden="false" customHeight="false" outlineLevel="0" collapsed="false">
      <c r="A25" s="3"/>
      <c r="B25" s="3"/>
      <c r="C25" s="3"/>
      <c r="D25" s="3"/>
      <c r="E25" s="3"/>
    </row>
    <row r="26" customFormat="false" ht="35.05" hidden="false" customHeight="false" outlineLevel="0" collapsed="false">
      <c r="A26" s="3"/>
      <c r="B26" s="38" t="s">
        <v>395</v>
      </c>
      <c r="C26" s="169" t="str">
        <f aca="false">IF(AND(SUMPRODUCT(--(ABS('Working Capital'!C12:L12-'Balance Sheet'!C8:L8)&gt;0.01))=0,SUMPRODUCT(--(ABS('Working Capital'!C13:L13-'Balance Sheet'!C9:L9)&gt;0.01))=0,SUMPRODUCT(--(ABS('Working Capital'!C14:L14-'Balance Sheet'!C15:L15)&gt;0.01))=0),"✅ PASS","❌ FAIL")</f>
        <v>✅ PASS</v>
      </c>
      <c r="D26" s="170" t="s">
        <v>396</v>
      </c>
      <c r="E26" s="3"/>
    </row>
    <row r="27" customFormat="false" ht="15" hidden="false" customHeight="false" outlineLevel="0" collapsed="false">
      <c r="A27" s="3"/>
      <c r="B27" s="3"/>
      <c r="C27" s="3"/>
      <c r="D27" s="3"/>
      <c r="E27" s="3"/>
    </row>
    <row r="28" customFormat="false" ht="15" hidden="false" customHeight="false" outlineLevel="0" collapsed="false">
      <c r="A28" s="3"/>
      <c r="B28" s="3"/>
      <c r="C28" s="3"/>
      <c r="D28" s="3"/>
      <c r="E28" s="3"/>
    </row>
    <row r="29" customFormat="false" ht="15" hidden="false" customHeight="false" outlineLevel="0" collapsed="false">
      <c r="A29" s="3"/>
      <c r="B29" s="3"/>
      <c r="C29" s="3"/>
      <c r="D29" s="3"/>
      <c r="E29" s="3"/>
    </row>
    <row r="30" customFormat="false" ht="15" hidden="false" customHeight="false" outlineLevel="0" collapsed="false">
      <c r="A30" s="3"/>
      <c r="B30" s="3"/>
      <c r="C30" s="3"/>
      <c r="D30" s="3"/>
      <c r="E30" s="3"/>
    </row>
  </sheetData>
  <mergeCells count="2">
    <mergeCell ref="B1:D1"/>
    <mergeCell ref="C6:D6"/>
  </mergeCells>
  <conditionalFormatting sqref="C8:C26">
    <cfRule type="expression" priority="2" aboveAverage="0" equalAverage="0" bottom="0" percent="0" rank="0" text="" dxfId="0">
      <formula>ISNUMBER(SEARCH("PASS",C8))</formula>
    </cfRule>
    <cfRule type="expression" priority="3" aboveAverage="0" equalAverage="0" bottom="0" percent="0" rank="0" text="" dxfId="1">
      <formula>ISNUMBER(SEARCH("FAIL",C8))</formula>
    </cfRule>
  </conditionalFormatting>
  <printOptions headings="false" gridLines="false" gridLinesSet="true" horizontalCentered="false" verticalCentered="false"/>
  <pageMargins left="0.25" right="0.25"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2026-07-12T15:40:27Z</dcterms:created>
  <dc:creator>openpyxl</dc:creator>
  <dc:description/>
  <dc:language>en-US</dc:language>
  <cp:lastModifiedBy/>
  <dcterms:modified xsi:type="dcterms:W3CDTF">2026-07-12T15:40:35Z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